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e59c609a3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c9281e69b8af41ff"/>
    <x:sheet xmlns:r="http://schemas.openxmlformats.org/officeDocument/2006/relationships" name="中文120" sheetId="2" r:id="R4d7325be85ab4af8"/>
    <x:sheet xmlns:r="http://schemas.openxmlformats.org/officeDocument/2006/relationships" name="English120" sheetId="3" r:id="R5fd744c9874c409f"/>
    <x:sheet xmlns:r="http://schemas.openxmlformats.org/officeDocument/2006/relationships" name="开发40" sheetId="4" r:id="R40e740672c9f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sz val="11"/>
      <x:color rgb="FF25313B"/>
      <x:name val="Arial"/>
    </x:font>
    <x:font>
      <x:b/>
      <x:sz val="16"/>
      <x:color rgb="FF25313B"/>
      <x:name val="Arial"/>
    </x:font>
    <x:font>
      <x:b/>
      <x:sz val="11"/>
      <x:color rgb="FFFFFFFF"/>
      <x:name val="Arial"/>
    </x:font>
    <x:font>
      <x:b/>
      <x:sz val="18"/>
      <x:color rgb="FF25313B"/>
      <x:name val="Arial"/>
    </x:font>
    <x:font>
      <x:b/>
      <x:sz val="11"/>
      <x:color rgb="FF25313B"/>
      <x:name val="Arial"/>
    </x:font>
    <x:font>
      <x:b/>
      <x:sz val="14"/>
      <x:color rgb="FF2531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F50"/>
      </x:patternFill>
    </x:fill>
    <x:fill>
      <x:patternFill patternType="solid">
        <x:fgColor rgb="FFE9EF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FCE8E6"/>
        </x:patternFill>
      </x:fill>
    </x:dxf>
    <x:dxf>
      <x:fill>
        <x:patternFill patternType="solid">
          <x:bgColor rgb="FFFFF2D9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2D9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472bde967494c" /><Relationship Type="http://schemas.openxmlformats.org/officeDocument/2006/relationships/theme" Target="/xl/theme/theme1.xml" Id="R52ce5a35d2db4f13" /><Relationship Type="http://schemas.openxmlformats.org/officeDocument/2006/relationships/sharedStrings" Target="/xl/sharedStrings.xml" Id="R004c41858a204ff5" /><Relationship Type="http://schemas.openxmlformats.org/officeDocument/2006/relationships/worksheet" Target="/xl/worksheets/sheet1.xml" Id="Rc9281e69b8af41ff" /><Relationship Type="http://schemas.openxmlformats.org/officeDocument/2006/relationships/worksheet" Target="/xl/worksheets/sheet2.xml" Id="R4d7325be85ab4af8" /><Relationship Type="http://schemas.openxmlformats.org/officeDocument/2006/relationships/worksheet" Target="/xl/worksheets/sheet3.xml" Id="R5fd744c9874c409f" /><Relationship Type="http://schemas.openxmlformats.org/officeDocument/2006/relationships/worksheet" Target="/xl/worksheets/sheet4.xml" Id="R40e740672c9f4925" /></Relationships>
</file>

<file path=xl/tables/table1.xml><?xml version="1.0" encoding="utf-8"?>
<x:table xmlns:x="http://schemas.openxmlformats.org/spreadsheetml/2006/main" id="1" name="ChineseCases" displayName="ChineseCases" ref="A3:P123" headerRowCount="1" totalsRowCount="0" totalsRowShown="0">
  <x:tableColumns count="16">
    <x:tableColumn id="1" name="用例ID"/>
    <x:tableColumn id="2" name="模块组"/>
    <x:tableColumn id="3" name="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 / 错误"/>
    <x:tableColumn id="15" name="预期字段"/>
    <x:tableColumn id="16" name="实际字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Cases" displayName="EnglishCases" ref="A3:P123" headerRowCount="1" totalsRowCount="0" totalsRowShown="0">
  <x:tableColumns count="16">
    <x:tableColumn id="1" name="用例ID"/>
    <x:tableColumn id="2" name="模块组"/>
    <x:tableColumn id="3" name="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 / 错误"/>
    <x:tableColumn id="15" name="预期字段"/>
    <x:tableColumn id="16" name="实际字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elopmentCases" displayName="DevelopmentCases" ref="A3:P43" headerRowCount="1" totalsRowCount="0" totalsRowShown="0">
  <x:tableColumns count="16">
    <x:tableColumn id="1" name="用例ID"/>
    <x:tableColumn id="2" name="模块组"/>
    <x:tableColumn id="3" name="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 / 错误"/>
    <x:tableColumn id="15" name="预期字段"/>
    <x:tableColumn id="16" name="实际字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c0a5410629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d70112ca248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6f4e21a03442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9" t="str">
        <x:v>Lifehub Plus 新模型测试结果</x:v>
      </x:c>
      <x:c r="B1" s="1"/>
      <x:c r="C1" s="1"/>
      <x:c r="D1" s="1"/>
      <x:c r="E1" s="1"/>
      <x:c r="F1" s="1"/>
      <x:c r="G1" s="1"/>
      <x:c r="H1" s="1"/>
    </x:row>
    <x:row r="2" ht="26" customHeight="1">
      <x:c r="A2" s="1" t="str">
        <x:v>Qwen2.5-1.5B int8 / LiteRT-LM 0.10.2 / 2026-10-02</x:v>
      </x:c>
      <x:c r="B2" s="1"/>
      <x:c r="C2" s="1"/>
      <x:c r="D2" s="1"/>
      <x:c r="E2" s="1"/>
      <x:c r="F2" s="1"/>
      <x:c r="G2" s="1"/>
      <x:c r="H2" s="1"/>
    </x:row>
    <x:row r="3" ht="26" customHeight="1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4" t="str">
        <x:v>指标</x:v>
      </x:c>
      <x:c r="B5" s="4" t="str">
        <x:v>中文通过</x:v>
      </x:c>
      <x:c r="C5" s="4" t="str">
        <x:v>中文总数</x:v>
      </x:c>
      <x:c r="D5" s="4" t="str">
        <x:v>中文比例</x:v>
      </x:c>
      <x:c r="E5" s="4" t="str">
        <x:v>英文通过</x:v>
      </x:c>
      <x:c r="F5" s="4" t="str">
        <x:v>英文总数</x:v>
      </x:c>
      <x:c r="G5" s="4" t="str">
        <x:v>英文比例</x:v>
      </x:c>
      <x:c r="H5" s="4" t="str">
        <x:v>合计比例</x:v>
      </x:c>
    </x:row>
    <x:row r="6" ht="26" customHeight="1">
      <x:c r="A6" s="1" t="str">
        <x:v>模块分类正确</x:v>
      </x:c>
      <x:c r="B6" s="1" t="n">
        <x:f>SUM('中文120'!H4:H123)</x:f>
        <x:v>120</x:v>
      </x:c>
      <x:c r="C6" s="1" t="n">
        <x:f>COUNTA('中文120'!A4:A123)</x:f>
        <x:v>120</x:v>
      </x:c>
      <x:c r="D6" s="10" t="n">
        <x:f>B6/C6</x:f>
        <x:v>1</x:v>
      </x:c>
      <x:c r="E6" s="1" t="n">
        <x:f>SUM('English120'!H4:H123)</x:f>
        <x:v>120</x:v>
      </x:c>
      <x:c r="F6" s="1" t="n">
        <x:f>COUNTA('English120'!A4:A123)</x:f>
        <x:v>120</x:v>
      </x:c>
      <x:c r="G6" s="10" t="n">
        <x:f>E6/F6</x:f>
        <x:v>1</x:v>
      </x:c>
      <x:c r="H6" s="10" t="n">
        <x:f>(B6+E6)/(C6+F6)</x:f>
        <x:v>1</x:v>
      </x:c>
    </x:row>
    <x:row r="7" ht="26" customHeight="1">
      <x:c r="A7" s="1" t="str">
        <x:v>必填字段正确</x:v>
      </x:c>
      <x:c r="B7" s="1" t="n">
        <x:f>SUM('中文120'!I4:I123)</x:f>
        <x:v>260</x:v>
      </x:c>
      <x:c r="C7" s="1" t="n">
        <x:f>SUM('中文120'!J4:J123)</x:f>
        <x:v>261</x:v>
      </x:c>
      <x:c r="D7" s="10" t="n">
        <x:f>B7/C7</x:f>
        <x:v>0.9961685823754789</x:v>
      </x:c>
      <x:c r="E7" s="1" t="n">
        <x:f>SUM('English120'!I4:I123)</x:f>
        <x:v>261</x:v>
      </x:c>
      <x:c r="F7" s="1" t="n">
        <x:f>SUM('English120'!J4:J123)</x:f>
        <x:v>261</x:v>
      </x:c>
      <x:c r="G7" s="10" t="n">
        <x:f>E7/F7</x:f>
        <x:v>1</x:v>
      </x:c>
      <x:c r="H7" s="10" t="n">
        <x:f>(B7+E7)/(C7+F7)</x:f>
        <x:v>0.9980842911877394</x:v>
      </x:c>
    </x:row>
    <x:row r="8" ht="26" customHeight="1">
      <x:c r="A8" s="1" t="str">
        <x:v>全部指定字段正确</x:v>
      </x:c>
      <x:c r="B8" s="1" t="n">
        <x:f>SUM('中文120'!K4:K123)</x:f>
        <x:v>119</x:v>
      </x:c>
      <x:c r="C8" s="1" t="n">
        <x:f>COUNTA('中文120'!A4:A123)</x:f>
        <x:v>120</x:v>
      </x:c>
      <x:c r="D8" s="10" t="n">
        <x:f>B8/C8</x:f>
        <x:v>0.9916666666666667</x:v>
      </x:c>
      <x:c r="E8" s="1" t="n">
        <x:f>SUM('English120'!K4:K123)</x:f>
        <x:v>120</x:v>
      </x:c>
      <x:c r="F8" s="1" t="n">
        <x:f>COUNTA('English120'!A4:A123)</x:f>
        <x:v>120</x:v>
      </x:c>
      <x:c r="G8" s="10" t="n">
        <x:f>E8/F8</x:f>
        <x:v>1</x:v>
      </x:c>
      <x:c r="H8" s="10" t="n">
        <x:f>(B8+E8)/(C8+F8)</x:f>
        <x:v>0.9958333333333333</x:v>
      </x:c>
    </x:row>
    <x:row r="9" ht="26" customHeight="1">
      <x:c r="A9" s="1" t="str">
        <x:v>支持请求草稿通过</x:v>
      </x:c>
      <x:c r="B9" s="1" t="n">
        <x:f>SUM('中文120'!M4:M123)</x:f>
        <x:v>97</x:v>
      </x:c>
      <x:c r="C9" s="1" t="n">
        <x:f>SUM('中文120'!L4:L123)</x:f>
        <x:v>98</x:v>
      </x:c>
      <x:c r="D9" s="10" t="n">
        <x:f>B9/C9</x:f>
        <x:v>0.9897959183673469</x:v>
      </x:c>
      <x:c r="E9" s="1" t="n">
        <x:f>SUM('English120'!M4:M123)</x:f>
        <x:v>98</x:v>
      </x:c>
      <x:c r="F9" s="1" t="n">
        <x:f>SUM('English120'!L4:L123)</x:f>
        <x:v>98</x:v>
      </x:c>
      <x:c r="G9" s="10" t="n">
        <x:f>E9/F9</x:f>
        <x:v>1</x:v>
      </x:c>
      <x:c r="H9" s="10" t="n">
        <x:f>(B9+E9)/(C9+F9)</x:f>
        <x:v>0.9948979591836735</x:v>
      </x:c>
    </x:row>
    <x:row r="10" ht="26" customHeight="1">
      <x:c r="A10" s="1"/>
      <x:c r="B10" s="1"/>
      <x:c r="C10" s="1"/>
      <x:c r="D10" s="1"/>
      <x:c r="E10" s="1"/>
      <x:c r="F10" s="1"/>
      <x:c r="G10" s="1"/>
      <x:c r="H10" s="1"/>
    </x:row>
    <x:row r="11" ht="26" customHeight="1">
      <x:c r="A11" s="1"/>
      <x:c r="B11" s="1"/>
      <x:c r="C11" s="1"/>
      <x:c r="D11" s="1"/>
      <x:c r="E11" s="1"/>
      <x:c r="F11" s="1"/>
      <x:c r="G11" s="1"/>
      <x:c r="H11" s="1"/>
    </x:row>
    <x:row r="12" ht="26" customHeight="1">
      <x:c r="A12" s="12" t="str">
        <x:v>独立检查</x:v>
      </x:c>
      <x:c r="B12" s="12" t="str">
        <x:v>通过</x:v>
      </x:c>
      <x:c r="C12" s="12" t="str">
        <x:v>总数</x:v>
      </x:c>
      <x:c r="D12" s="12" t="str">
        <x:v>比例</x:v>
      </x:c>
      <x:c r="E12" s="1"/>
      <x:c r="F12" s="1"/>
      <x:c r="G12" s="1"/>
      <x:c r="H12" s="1"/>
    </x:row>
    <x:row r="13" ht="26" customHeight="1">
      <x:c r="A13" s="1" t="str">
        <x:v>Python 校验检查</x:v>
      </x:c>
      <x:c r="B13" s="1" t="n">
        <x:v>83</x:v>
      </x:c>
      <x:c r="C13" s="1" t="n">
        <x:v>83</x:v>
      </x:c>
      <x:c r="D13" s="10" t="n">
        <x:f>B13/C13</x:f>
        <x:v>1</x:v>
      </x:c>
      <x:c r="E13" s="1"/>
      <x:c r="F13" s="1"/>
      <x:c r="G13" s="1"/>
      <x:c r="H13" s="1"/>
    </x:row>
    <x:row r="14" ht="26" customHeight="1">
      <x:c r="A14" s="1" t="str">
        <x:v>Android 单元检查</x:v>
      </x:c>
      <x:c r="B14" s="1" t="n">
        <x:v>17</x:v>
      </x:c>
      <x:c r="C14" s="1" t="n">
        <x:v>17</x:v>
      </x:c>
      <x:c r="D14" s="10" t="n">
        <x:f>B14/C14</x:f>
        <x:v>1</x:v>
      </x:c>
      <x:c r="E14" s="1"/>
      <x:c r="F14" s="1"/>
      <x:c r="G14" s="1"/>
      <x:c r="H14" s="1"/>
    </x:row>
    <x:row r="15" ht="26" customHeight="1">
      <x:c r="A15" s="1" t="str">
        <x:v>Android 可靠性检查</x:v>
      </x:c>
      <x:c r="B15" s="1" t="n">
        <x:v>20</x:v>
      </x:c>
      <x:c r="C15" s="1" t="n">
        <x:v>20</x:v>
      </x:c>
      <x:c r="D15" s="10" t="n">
        <x:f>B15/C15</x:f>
        <x:v>1</x:v>
      </x:c>
      <x:c r="E15" s="1"/>
      <x:c r="F15" s="1"/>
      <x:c r="G15" s="1"/>
      <x:c r="H15" s="1"/>
    </x:row>
    <x:row r="16" ht="26" customHeight="1">
      <x:c r="A16" s="1" t="str">
        <x:v>开发集模块分类</x:v>
      </x:c>
      <x:c r="B16" s="1" t="n">
        <x:f>SUM('开发40'!H4:H43)</x:f>
        <x:v>40</x:v>
      </x:c>
      <x:c r="C16" s="1" t="n">
        <x:v>40</x:v>
      </x:c>
      <x:c r="D16" s="10" t="n">
        <x:f>B16/C16</x:f>
        <x:v>1</x:v>
      </x:c>
      <x:c r="E16" s="1"/>
      <x:c r="F16" s="1"/>
      <x:c r="G16" s="1"/>
      <x:c r="H16" s="1"/>
    </x:row>
    <x:row r="17" ht="26" customHeight="1">
      <x:c r="A17" s="1" t="str">
        <x:v>开发集全部字段</x:v>
      </x:c>
      <x:c r="B17" s="1" t="n">
        <x:f>SUM('开发40'!K4:K43)</x:f>
        <x:v>39</x:v>
      </x:c>
      <x:c r="C17" s="1" t="n">
        <x:v>40</x:v>
      </x:c>
      <x:c r="D17" s="10" t="n">
        <x:f>B17/C17</x:f>
        <x:v>0.975</x:v>
      </x:c>
      <x:c r="E17" s="1"/>
      <x:c r="F17" s="1"/>
      <x:c r="G17" s="1"/>
      <x:c r="H17" s="1"/>
    </x:row>
    <x:row r="18" ht="26" customHeight="1">
      <x:c r="A18" s="1"/>
      <x:c r="B18" s="1"/>
      <x:c r="C18" s="1"/>
      <x:c r="D18" s="1"/>
      <x:c r="E18" s="1"/>
      <x:c r="F18" s="1"/>
      <x:c r="G18" s="1"/>
      <x:c r="H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</x:row>
    <x:row r="20" ht="26" customHeight="1">
      <x:c r="A20" s="1" t="str">
        <x:v>测试环境</x:v>
      </x:c>
      <x:c r="B20" s="1" t="str">
        <x:v>Windows CPU</x:v>
      </x:c>
      <x:c r="C20" s="1" t="str">
        <x:v>同模型文件与同版本推理库</x:v>
      </x:c>
      <x:c r="D20" s="1"/>
      <x:c r="E20" s="1"/>
      <x:c r="F20" s="1"/>
      <x:c r="G20" s="1"/>
      <x:c r="H20" s="1"/>
    </x:row>
    <x:row r="21" ht="26" customHeight="1">
      <x:c r="A21" s="1" t="str">
        <x:v>测试集性质</x:v>
      </x:c>
      <x:c r="B21" s="1" t="str">
        <x:v>旧集复测</x:v>
      </x:c>
      <x:c r="C21" s="1" t="str">
        <x:v>每种语言 120 条，四模块均衡</x:v>
      </x:c>
      <x:c r="D21" s="1"/>
      <x:c r="E21" s="1"/>
      <x:c r="F21" s="1"/>
      <x:c r="G21" s="1"/>
      <x:c r="H21" s="1"/>
    </x:row>
    <x:row r="22" ht="26" customHeight="1">
      <x:c r="A22" s="1" t="str">
        <x:v>模型计分范围</x:v>
      </x:c>
      <x:c r="B22" s="1" t="str">
        <x:v>模型 + 校验</x:v>
      </x:c>
      <x:c r="C22" s="1" t="str">
        <x:v>未经人工修正的草稿字段</x:v>
      </x:c>
      <x:c r="D22" s="1"/>
      <x:c r="E22" s="1"/>
      <x:c r="F22" s="1"/>
      <x:c r="G22" s="1"/>
      <x:c r="H22" s="1"/>
    </x:row>
    <x:row r="23" ht="26" customHeight="1">
      <x:c r="A23" s="1" t="str">
        <x:v>数据可靠性</x:v>
      </x:c>
      <x:c r="B23" s="1" t="str">
        <x:v>独立检查</x:v>
      </x:c>
      <x:c r="C23" s="1" t="str">
        <x:v>不计入模型准确率</x:v>
      </x:c>
      <x:c r="D23" s="1"/>
      <x:c r="E23" s="1"/>
      <x:c r="F23" s="1"/>
      <x:c r="G23" s="1"/>
      <x:c r="H23" s="1"/>
    </x:row>
    <x:row r="24" ht="26" customHeight="1">
      <x:c r="A24" s="1" t="str">
        <x:v>独立盲测</x:v>
      </x:c>
      <x:c r="B24" s="1" t="str">
        <x:v>不适用</x:v>
      </x:c>
      <x:c r="C24" s="1" t="str">
        <x:v>当前数据是已使用回归集</x:v>
      </x:c>
      <x:c r="D24" s="1"/>
      <x:c r="E24" s="1"/>
      <x:c r="F24" s="1"/>
      <x:c r="G24" s="1"/>
      <x:c r="H24" s="1"/>
    </x:row>
    <x:row r="25" ht="26" customHeight="1">
      <x:c r="A25" s="1" t="str">
        <x:v>运行参数</x:v>
      </x:c>
      <x:c r="B25" s="1" t="str">
        <x:v>固定配置</x:v>
      </x:c>
      <x:c r="C25" s="1" t="str">
        <x:v>每条 1 次，无自动重试</x:v>
      </x:c>
      <x:c r="D25" s="1"/>
      <x:c r="E25" s="1"/>
      <x:c r="F25" s="1"/>
      <x:c r="G25" s="1"/>
      <x:c r="H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</x:row>
    <x:row r="27" ht="26" customHeight="1">
      <x:c r="A27" s="1" t="str">
        <x:v>结果来源</x:v>
      </x:c>
      <x:c r="B27" s="1" t="str">
        <x:v>docs/evaluation-mobile/results.json</x:v>
      </x:c>
      <x:c r="C27" s="1"/>
      <x:c r="D27" s="1"/>
      <x:c r="E27" s="1"/>
      <x:c r="F27" s="1"/>
      <x:c r="G27" s="1"/>
      <x:c r="H27" s="1"/>
    </x:row>
    <x:row r="28" ht="26" customHeight="1">
      <x:c r="A28" s="1" t="str">
        <x:v>用例来源</x:v>
      </x:c>
      <x:c r="B28" s="1" t="str">
        <x:v>backend/evaluation/holdout_v2.json</x:v>
      </x:c>
      <x:c r="C28" s="1"/>
      <x:c r="D28" s="1"/>
      <x:c r="E28" s="1"/>
      <x:c r="F28" s="1"/>
      <x:c r="G28" s="1"/>
      <x:c r="H28" s="1"/>
    </x:row>
    <x:row r="29" ht="26" customHeight="1">
      <x:c r="A29" s="1" t="str">
        <x:v>配置与哈希</x:v>
      </x:c>
      <x:c r="B29" s="1" t="str">
        <x:v>docs/evaluation-mobile/protocol.json</x:v>
      </x:c>
      <x:c r="C29" s="1"/>
      <x:c r="D29" s="1"/>
      <x:c r="E29" s="1"/>
      <x:c r="F29" s="1"/>
      <x:c r="G29" s="1"/>
      <x:c r="H29" s="1"/>
    </x:row>
    <x:row r="30" ht="26" customHeight="1">
      <x:c r="A30" s="1" t="str">
        <x:v>在线结果</x:v>
      </x:c>
      <x:c r="B30" s="1" t="str">
        <x:v>https://github.com/lana0323/Lifehub-Plus/tree/main/docs/evaluation-mobile</x:v>
      </x:c>
      <x:c r="C30" s="1"/>
      <x:c r="D30" s="1"/>
      <x:c r="E30" s="1"/>
      <x:c r="F30" s="1"/>
      <x:c r="G30" s="1"/>
      <x:c r="H30" s="1"/>
    </x:row>
    <x:row r="31" ht="26" customHeight="1">
      <x:c r="A31" s="1" t="str">
        <x:v>完整 JSON 保留模型原始输出、校验后字段和逐项计分。</x:v>
      </x:c>
      <x:c r="B31" s="1"/>
      <x:c r="C31" s="1"/>
      <x:c r="D31" s="1"/>
      <x:c r="E31" s="1"/>
      <x:c r="F31" s="1"/>
      <x:c r="G31" s="1"/>
      <x:c r="H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</x:row>
    <x:row r="34" ht="26" customHeight="1">
      <x:c r="A34" s="13" t="str">
        <x:v>同批数据优化前后对比</x:v>
      </x:c>
      <x:c r="B34" s="1"/>
      <x:c r="C34" s="1"/>
      <x:c r="D34" s="1"/>
      <x:c r="E34" s="1"/>
      <x:c r="F34" s="1"/>
      <x:c r="G34" s="1"/>
      <x:c r="H34" s="1"/>
    </x:row>
    <x:row r="35" ht="26" customHeight="1">
      <x:c r="A35" s="4" t="str">
        <x:v>指标</x:v>
      </x:c>
      <x:c r="B35" s="4" t="str">
        <x:v>初始通过</x:v>
      </x:c>
      <x:c r="C35" s="4" t="str">
        <x:v>总数</x:v>
      </x:c>
      <x:c r="D35" s="4" t="str">
        <x:v>初始比例</x:v>
      </x:c>
      <x:c r="E35" s="4" t="str">
        <x:v>优化通过</x:v>
      </x:c>
      <x:c r="F35" s="4" t="str">
        <x:v>总数</x:v>
      </x:c>
      <x:c r="G35" s="4" t="str">
        <x:v>优化比例</x:v>
      </x:c>
      <x:c r="H35" s="4" t="str">
        <x:v>变化</x:v>
      </x:c>
    </x:row>
    <x:row r="36" ht="26" customHeight="1">
      <x:c r="A36" s="1" t="str">
        <x:v>模块分类正确</x:v>
      </x:c>
      <x:c r="B36" s="1" t="n">
        <x:v>219</x:v>
      </x:c>
      <x:c r="C36" s="1" t="n">
        <x:v>240</x:v>
      </x:c>
      <x:c r="D36" s="10" t="n">
        <x:f>B36/C36</x:f>
        <x:v>0.9125</x:v>
      </x:c>
      <x:c r="E36" s="1" t="n">
        <x:f>B6+E6</x:f>
        <x:v>240</x:v>
      </x:c>
      <x:c r="F36" s="1" t="n">
        <x:f>C6+F6</x:f>
        <x:v>240</x:v>
      </x:c>
      <x:c r="G36" s="10" t="n">
        <x:f>E36/F36</x:f>
        <x:v>1</x:v>
      </x:c>
      <x:c r="H36" s="10" t="n">
        <x:f>G36-D36</x:f>
        <x:v>0.08750000000000002</x:v>
      </x:c>
    </x:row>
    <x:row r="37" ht="26" customHeight="1">
      <x:c r="A37" s="1" t="str">
        <x:v>必填字段正确</x:v>
      </x:c>
      <x:c r="B37" s="1" t="n">
        <x:v>484</x:v>
      </x:c>
      <x:c r="C37" s="1" t="n">
        <x:v>522</x:v>
      </x:c>
      <x:c r="D37" s="10" t="n">
        <x:f>B37/C37</x:f>
        <x:v>0.9272030651340997</x:v>
      </x:c>
      <x:c r="E37" s="1" t="n">
        <x:f>B7+E7</x:f>
        <x:v>521</x:v>
      </x:c>
      <x:c r="F37" s="1" t="n">
        <x:f>C7+F7</x:f>
        <x:v>522</x:v>
      </x:c>
      <x:c r="G37" s="10" t="n">
        <x:f>E37/F37</x:f>
        <x:v>0.9980842911877394</x:v>
      </x:c>
      <x:c r="H37" s="10" t="n">
        <x:f>G37-D37</x:f>
        <x:v>0.07088122605363978</x:v>
      </x:c>
    </x:row>
    <x:row r="38" ht="26" customHeight="1">
      <x:c r="A38" s="1" t="str">
        <x:v>全部指定字段正确</x:v>
      </x:c>
      <x:c r="B38" s="1" t="n">
        <x:v>200</x:v>
      </x:c>
      <x:c r="C38" s="1" t="n">
        <x:v>240</x:v>
      </x:c>
      <x:c r="D38" s="10" t="n">
        <x:f>B38/C38</x:f>
        <x:v>0.8333333333333334</x:v>
      </x:c>
      <x:c r="E38" s="1" t="n">
        <x:f>B8+E8</x:f>
        <x:v>239</x:v>
      </x:c>
      <x:c r="F38" s="1" t="n">
        <x:f>C8+F8</x:f>
        <x:v>240</x:v>
      </x:c>
      <x:c r="G38" s="10" t="n">
        <x:f>E38/F38</x:f>
        <x:v>0.9958333333333333</x:v>
      </x:c>
      <x:c r="H38" s="10" t="n">
        <x:f>G38-D38</x:f>
        <x:v>0.16249999999999998</x:v>
      </x:c>
    </x:row>
    <x:row r="39" ht="26" customHeight="1">
      <x:c r="A39" s="1" t="str">
        <x:v>支持请求草稿通过</x:v>
      </x:c>
      <x:c r="B39" s="1" t="n">
        <x:v>159</x:v>
      </x:c>
      <x:c r="C39" s="1" t="n">
        <x:v>196</x:v>
      </x:c>
      <x:c r="D39" s="10" t="n">
        <x:f>B39/C39</x:f>
        <x:v>0.8112244897959183</x:v>
      </x:c>
      <x:c r="E39" s="1" t="n">
        <x:f>B9+E9</x:f>
        <x:v>195</x:v>
      </x:c>
      <x:c r="F39" s="1" t="n">
        <x:f>C9+F9</x:f>
        <x:v>196</x:v>
      </x:c>
      <x:c r="G39" s="10" t="n">
        <x:f>E39/F39</x:f>
        <x:v>0.9948979591836735</x:v>
      </x:c>
      <x:c r="H39" s="10" t="n">
        <x:f>G39-D39</x:f>
        <x:v>0.1836734693877552</x:v>
      </x:c>
    </x:row>
    <x:row r="40" ht="26" customHeight="1">
      <x:c r="A40" s="1"/>
      <x:c r="B40" s="1"/>
      <x:c r="C40" s="1"/>
      <x:c r="D40" s="1"/>
      <x:c r="E40" s="1"/>
      <x:c r="F40" s="1"/>
      <x:c r="G40" s="1"/>
      <x:c r="H40" s="1"/>
    </x:row>
    <x:row r="41" ht="26" customHeight="1">
      <x:c r="A41" s="1" t="str">
        <x:v>初始结果来源</x:v>
      </x:c>
      <x:c r="B41" s="1" t="str">
        <x:v>docs/evaluation-mobile/first-pass-results.json</x:v>
      </x:c>
      <x:c r="C41" s="1"/>
      <x:c r="D41" s="1"/>
      <x:c r="E41" s="1"/>
      <x:c r="F41" s="1"/>
      <x:c r="G41" s="1"/>
      <x:c r="H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</x:row>
    <x:row r="43" ht="26" customHeight="1">
      <x:c r="A43" s="1" t="str">
        <x:v>优化后为同批模型输出的校验回放，未人工修改答案。</x:v>
      </x:c>
      <x:c r="B43" s="1"/>
      <x:c r="C43" s="1"/>
      <x:c r="D43" s="1"/>
      <x:c r="E43" s="1"/>
      <x:c r="F43" s="1"/>
      <x:c r="G43" s="1"/>
      <x:c r="H4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6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4" hidden="0" customWidth="1"/>
    <x:col min="15" max="15" width="82" hidden="0" customWidth="1"/>
    <x:col min="16" max="16" width="82" hidden="0" customWidth="1"/>
  </x:cols>
  <x:sheetData>
    <x:row r="1">
      <x:c r="A1" s="2" t="str">
        <x:v>中文120 逐条结果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32" customHeight="1">
      <x:c r="A3" s="5" t="str">
        <x:v>用例ID</x:v>
      </x:c>
      <x:c r="B3" s="5" t="str">
        <x:v>模块组</x:v>
      </x:c>
      <x:c r="C3" s="5" t="str">
        <x:v>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 / 错误</x:v>
      </x:c>
      <x:c r="O3" s="5" t="str">
        <x:v>预期字段</x:v>
      </x:c>
      <x:c r="P3" s="5" t="str">
        <x:v>实际字段</x:v>
      </x:c>
    </x:row>
    <x:row r="4" ht="132" customHeight="1">
      <x:c r="A4" s="7" t="str">
        <x:v>v2-schedule-zh-21</x:v>
      </x:c>
      <x:c r="B4" s="7" t="str">
        <x:v>schedule</x:v>
      </x:c>
      <x:c r="C4" s="7" t="str">
        <x:v>日历添加下周三15:20的财务评审会，这不是支出。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2</x:v>
      </x:c>
      <x:c r="J4" s="8" t="n">
        <x:v>2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{"status":"draft","module":"schedule","title":{"containsAny":["财务","评审"]},"date":"2026-10-07","time":"15:20"}</x:v>
      </x:c>
      <x:c r="P4" s="7" t="str">
        <x:v>{"id":"c2f52c32-41cb-4762-9073-2a92d411c326","title":"财务评审会","notes":"","date":"2026-10-07","time":"15:20","amount":null,"kind":null,"category":null,"account":null,"timezone":"Asia/Shanghai"}</x:v>
      </x:c>
    </x:row>
    <x:row r="5" ht="132" customHeight="1">
      <x:c r="A5" s="7" t="str">
        <x:v>v2-schedule-zh-09</x:v>
      </x:c>
      <x:c r="B5" s="7" t="str">
        <x:v>schedule</x:v>
      </x:c>
      <x:c r="C5" s="7" t="str">
        <x:v>把昨天上午11点的设计咨询记录成日程。</x:v>
      </x:c>
      <x:c r="D5" s="7" t="str">
        <x:v>draft</x:v>
      </x:c>
      <x:c r="E5" s="7" t="str">
        <x:v>schedule</x:v>
      </x:c>
      <x:c r="F5" s="7" t="str">
        <x:v>draft</x:v>
      </x:c>
      <x:c r="G5" s="7" t="str">
        <x:v>schedule</x:v>
      </x:c>
      <x:c r="H5" s="8" t="n">
        <x:v>1</x:v>
      </x:c>
      <x:c r="I5" s="8" t="n">
        <x:v>2</x:v>
      </x:c>
      <x:c r="J5" s="8" t="n">
        <x:v>2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{"status":"draft","module":"schedule","title":{"containsAny":["设计","咨询"]},"date":"2026-10-01","time":"11:00"}</x:v>
      </x:c>
      <x:c r="P5" s="7" t="str">
        <x:v>{"id":"5bc54eb3-e2fb-41a3-9e74-6b4aac6d5605","title":"设计咨询","notes":"昨天上午11点","date":"2026-10-01","time":"11:00","amount":null,"kind":null,"category":null,"account":null,"timezone":"Asia/Shanghai"}</x:v>
      </x:c>
    </x:row>
    <x:row r="6" ht="132" customHeight="1">
      <x:c r="A6" s="7" t="str">
        <x:v>v2-finance-zh-25</x:v>
      </x:c>
      <x:c r="B6" s="7" t="str">
        <x:v>finance</x:v>
      </x:c>
      <x:c r="C6" s="7" t="str">
        <x:v>记一笔今天零食支出29元，现金支付。</x:v>
      </x:c>
      <x:c r="D6" s="7" t="str">
        <x:v>draft</x:v>
      </x:c>
      <x:c r="E6" s="7" t="str">
        <x:v>finance</x:v>
      </x:c>
      <x:c r="F6" s="7" t="str">
        <x:v>draft</x:v>
      </x:c>
      <x:c r="G6" s="7" t="str">
        <x:v>finance</x:v>
      </x:c>
      <x:c r="H6" s="8" t="n">
        <x:v>1</x:v>
      </x:c>
      <x:c r="I6" s="8" t="n">
        <x:v>6</x:v>
      </x:c>
      <x:c r="J6" s="8" t="n">
        <x:v>6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{"status":"draft","module":"finance","title":{"containsAny":["零食"]},"amount":"29","account":"Cash","kind":"expense","date":"2026-10-02","category":"Food &amp; Drinks"}</x:v>
      </x:c>
      <x:c r="P6" s="7" t="str">
        <x:v>{"id":"98f9061f-4503-498b-8529-7f24df801e1b","title":"零食支出","notes":"29元","date":"2026-10-02","time":null,"amount":"29","kind":"expense","category":"Food &amp; Drinks","account":"Cash","timezone":"Asia/Shanghai"}</x:v>
      </x:c>
    </x:row>
    <x:row r="7" ht="132" customHeight="1">
      <x:c r="A7" s="7" t="str">
        <x:v>v2-finance-zh-18</x:v>
      </x:c>
      <x:c r="B7" s="7" t="str">
        <x:v>finance</x:v>
      </x:c>
      <x:c r="C7" s="7" t="str">
        <x:v>记录今天一笔39元支出。</x:v>
      </x:c>
      <x:c r="D7" s="7" t="str">
        <x:v>draft</x:v>
      </x:c>
      <x:c r="E7" s="7" t="str">
        <x:v>finance</x:v>
      </x:c>
      <x:c r="F7" s="7" t="str">
        <x:v>draft</x:v>
      </x:c>
      <x:c r="G7" s="7" t="str">
        <x:v>finance</x:v>
      </x:c>
      <x:c r="H7" s="8" t="n">
        <x:v>1</x:v>
      </x:c>
      <x:c r="I7" s="8" t="n">
        <x:v>5</x:v>
      </x:c>
      <x:c r="J7" s="8" t="n">
        <x:v>5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{"status":"draft","module":"finance","title":{"containsAny":["支出","39"]},"amount":"39","account":null,"kind":"expense","date":"2026-10-02"}</x:v>
      </x:c>
      <x:c r="P7" s="7" t="str">
        <x:v>{"id":"62ccd1f3-98bc-4ce3-85a1-9325d7bf67d0","title":"今天一笔39元支出。","notes":"","date":"2026-10-02","time":null,"amount":"39","kind":"expense","category":"Others","account":null,"timezone":"Asia/Shanghai"}</x:v>
      </x:c>
    </x:row>
    <x:row r="8" ht="132" customHeight="1">
      <x:c r="A8" s="7" t="str">
        <x:v>v2-memo-zh-03</x:v>
      </x:c>
      <x:c r="B8" s="7" t="str">
        <x:v>memo</x:v>
      </x:c>
      <x:c r="C8" s="7" t="str">
        <x:v>紧急待办：下周一上传签证材料。</x:v>
      </x:c>
      <x:c r="D8" s="7" t="str">
        <x:v>draft</x:v>
      </x:c>
      <x:c r="E8" s="7" t="str">
        <x:v>memo</x:v>
      </x:c>
      <x:c r="F8" s="7" t="str">
        <x:v>draft</x:v>
      </x:c>
      <x:c r="G8" s="7" t="str">
        <x:v>memo</x:v>
      </x:c>
      <x:c r="H8" s="8" t="n">
        <x:v>1</x:v>
      </x:c>
      <x:c r="I8" s="8" t="n">
        <x:v>2</x:v>
      </x:c>
      <x:c r="J8" s="8" t="n">
        <x:v>2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{"status":"draft","module":"memo","title":{"containsAny":["签证"]},"date":"2026-10-05","priority":"urgent"}</x:v>
      </x:c>
      <x:c r="P8" s="7" t="str">
        <x:v>{"id":"388d38df-29f1-45a2-b4c3-ac4423cf953d","title":"上传签证材料","notes":"","dueDate":"2026-10-05","timezone":"Asia/Shanghai","priority":"urgent","dateText":"下周一","warnings":[]}</x:v>
      </x:c>
    </x:row>
    <x:row r="9" ht="132" customHeight="1">
      <x:c r="A9" s="7" t="str">
        <x:v>v2-memo-zh-08</x:v>
      </x:c>
      <x:c r="B9" s="7" t="str">
        <x:v>memo</x:v>
      </x:c>
      <x:c r="C9" s="7" t="str">
        <x:v>添加待办，下周四前归还投影仪。</x:v>
      </x:c>
      <x:c r="D9" s="7" t="str">
        <x:v>draft</x:v>
      </x:c>
      <x:c r="E9" s="7" t="str">
        <x:v>memo</x:v>
      </x:c>
      <x:c r="F9" s="7" t="str">
        <x:v>draft</x:v>
      </x:c>
      <x:c r="G9" s="7" t="str">
        <x:v>memo</x:v>
      </x:c>
      <x:c r="H9" s="8" t="n">
        <x:v>1</x:v>
      </x:c>
      <x:c r="I9" s="8" t="n">
        <x:v>2</x:v>
      </x:c>
      <x:c r="J9" s="8" t="n">
        <x:v>2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{"status":"draft","module":"memo","title":{"containsAny":["投影"]},"date":"2026-10-08","priority":null}</x:v>
      </x:c>
      <x:c r="P9" s="7" t="str">
        <x:v>{"id":"bd0ad623-8372-4e63-831b-0ce5818f97b3","title":"归还投影仪","notes":"下周四前","dueDate":"2026-10-08","timezone":"Asia/Shanghai","priority":null,"dateText":"下周四","warnings":["priority_missing"]}</x:v>
      </x:c>
    </x:row>
    <x:row r="10" ht="132" customHeight="1">
      <x:c r="A10" s="7" t="str">
        <x:v>v2-health-zh-05</x:v>
      </x:c>
      <x:c r="B10" s="7" t="str">
        <x:v>health</x:v>
      </x:c>
      <x:c r="C10" s="7" t="str">
        <x:v>我想查看手机使用情况看板。</x:v>
      </x:c>
      <x:c r="D10" s="7" t="str">
        <x:v>draft</x:v>
      </x:c>
      <x:c r="E10" s="7" t="str">
        <x:v>health</x:v>
      </x:c>
      <x:c r="F10" s="7" t="str">
        <x:v>draft</x:v>
      </x:c>
      <x:c r="G10" s="7" t="str">
        <x:v>health</x:v>
      </x:c>
      <x:c r="H10" s="8" t="n">
        <x:v>1</x:v>
      </x:c>
      <x:c r="I10" s="8" t="n">
        <x:v>0</x:v>
      </x:c>
      <x:c r="J10" s="8" t="n">
        <x:v>0</x:v>
      </x:c>
      <x:c r="K10" s="8" t="n">
        <x:v>1</x:v>
      </x:c>
      <x:c r="L10" s="8" t="n">
        <x:v>1</x:v>
      </x:c>
      <x:c r="M10" s="8" t="n">
        <x:v>1</x:v>
      </x:c>
      <x:c r="N10" s="7" t="str"/>
      <x:c r="O10" s="7" t="str">
        <x:v>{"status":"draft","module":"health"}</x:v>
      </x:c>
      <x:c r="P10" s="7" t="str">
        <x:v>{"id":"7113ca52-7ce6-4373-a073-ecd0d2ed2635","title":"查看手机使用情况","notes":"","date":null,"time":null,"amount":null,"kind":null,"category":null,"account":null,"timezone":"Asia/Shanghai"}</x:v>
      </x:c>
    </x:row>
    <x:row r="11" ht="132" customHeight="1">
      <x:c r="A11" s="7" t="str">
        <x:v>v2-health-zh-02</x:v>
      </x:c>
      <x:c r="B11" s="7" t="str">
        <x:v>health</x:v>
      </x:c>
      <x:c r="C11" s="7" t="str">
        <x:v>我今天花在手机上的时间有多少？</x:v>
      </x:c>
      <x:c r="D11" s="7" t="str">
        <x:v>draft</x:v>
      </x:c>
      <x:c r="E11" s="7" t="str">
        <x:v>health</x:v>
      </x:c>
      <x:c r="F11" s="7" t="str">
        <x:v>draft</x:v>
      </x:c>
      <x:c r="G11" s="7" t="str">
        <x:v>health</x:v>
      </x:c>
      <x:c r="H11" s="8" t="n">
        <x:v>1</x:v>
      </x:c>
      <x:c r="I11" s="8" t="n">
        <x:v>0</x:v>
      </x:c>
      <x:c r="J11" s="8" t="n">
        <x:v>0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{"status":"draft","module":"health"}</x:v>
      </x:c>
      <x:c r="P11" s="7" t="str">
        <x:v>{"id":"acae1301-9dc1-4eb0-abd8-868082db42ec","title":"查看手机使用情况","notes":"","date":"2026-10-02","time":null,"amount":null,"kind":null,"category":null,"account":null,"timezone":"Asia/Shanghai"}</x:v>
      </x:c>
    </x:row>
    <x:row r="12" ht="132" customHeight="1">
      <x:c r="A12" s="7" t="str">
        <x:v>v2-finance-zh-30</x:v>
      </x:c>
      <x:c r="B12" s="7" t="str">
        <x:v>finance</x:v>
      </x:c>
      <x:c r="C12" s="7" t="str">
        <x:v>记录停车费15元，再查询今天应用使用情况。</x:v>
      </x:c>
      <x:c r="D12" s="7" t="str">
        <x:v>clarification</x:v>
      </x:c>
      <x:c r="E12" s="7" t="str"/>
      <x:c r="F12" s="7" t="str">
        <x:v>clarification</x:v>
      </x:c>
      <x:c r="G12" s="7" t="str"/>
      <x:c r="H12" s="8" t="n">
        <x:v>1</x:v>
      </x:c>
      <x:c r="I12" s="8" t="n">
        <x:v>0</x:v>
      </x:c>
      <x:c r="J12" s="8" t="n">
        <x:v>0</x:v>
      </x:c>
      <x:c r="K12" s="8" t="n">
        <x:v>1</x:v>
      </x:c>
      <x:c r="L12" s="8" t="n">
        <x:v>0</x:v>
      </x:c>
      <x:c r="M12" s="8" t="n">
        <x:v>0</x:v>
      </x:c>
      <x:c r="N12" s="7" t="str"/>
      <x:c r="O12" s="7" t="str">
        <x:v>{"status":"clarification","module":null}</x:v>
      </x:c>
      <x:c r="P12" s="7" t="str">
        <x:v>{"status":"clarification","reason":"multiple_tasks","module":null,"draft":null,"fields":null}</x:v>
      </x:c>
    </x:row>
    <x:row r="13" ht="132" customHeight="1">
      <x:c r="A13" s="7" t="str">
        <x:v>v2-finance-zh-16</x:v>
      </x:c>
      <x:c r="B13" s="7" t="str">
        <x:v>finance</x:v>
      </x:c>
      <x:c r="C13" s="7" t="str">
        <x:v>记账：今天现金买铅笔花了-23元。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6</x:v>
      </x:c>
      <x:c r="J13" s="8" t="n">
        <x:v>6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{"status":"draft","module":"finance","title":{"containsAny":["铅笔"]},"amount":null,"account":"Cash","kind":"expense","date":"2026-10-02","category":"Shopping"}</x:v>
      </x:c>
      <x:c r="P13" s="7" t="str">
        <x:v>{"id":"2b122326-820f-4b40-a514-7d7acac3343b","title":"今天现金买铅笔花了-23元。","notes":"今天现金买铅笔花了-23元","date":"2026-10-02","time":null,"amount":null,"kind":"expense","category":"Shopping","account":"Cash","timezone":"Asia/Shanghai"}</x:v>
      </x:c>
    </x:row>
    <x:row r="14" ht="132" customHeight="1">
      <x:c r="A14" s="7" t="str">
        <x:v>v2-schedule-zh-02</x:v>
      </x:c>
      <x:c r="B14" s="7" t="str">
        <x:v>schedule</x:v>
      </x:c>
      <x:c r="C14" s="7" t="str">
        <x:v>添加下周一下午4点的长笛课。</x:v>
      </x:c>
      <x:c r="D14" s="7" t="str">
        <x:v>draft</x:v>
      </x:c>
      <x:c r="E14" s="7" t="str">
        <x:v>schedule</x:v>
      </x:c>
      <x:c r="F14" s="7" t="str">
        <x:v>draft</x:v>
      </x:c>
      <x:c r="G14" s="7" t="str">
        <x:v>schedule</x:v>
      </x:c>
      <x:c r="H14" s="8" t="n">
        <x:v>1</x:v>
      </x:c>
      <x:c r="I14" s="8" t="n">
        <x:v>2</x:v>
      </x:c>
      <x:c r="J14" s="8" t="n">
        <x:v>2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{"status":"draft","module":"schedule","title":{"containsAny":["长笛"]},"date":"2026-10-05","time":"16:00"}</x:v>
      </x:c>
      <x:c r="P14" s="7" t="str">
        <x:v>{"id":"40d7aa66-f9f8-432a-bb93-dbe5648ec37e","title":"长笛课","notes":"下周一下午4点","date":"2026-10-05","time":"16:00","amount":null,"kind":null,"category":null,"account":null,"timezone":"Asia/Shanghai"}</x:v>
      </x:c>
    </x:row>
    <x:row r="15" ht="132" customHeight="1">
      <x:c r="A15" s="7" t="str">
        <x:v>v2-health-zh-04</x:v>
      </x:c>
      <x:c r="B15" s="7" t="str">
        <x:v>health</x:v>
      </x:c>
      <x:c r="C15" s="7" t="str">
        <x:v>带我进入Health查看屏幕使用统计。</x:v>
      </x:c>
      <x:c r="D15" s="7" t="str">
        <x:v>draft</x:v>
      </x:c>
      <x:c r="E15" s="7" t="str">
        <x:v>health</x:v>
      </x:c>
      <x:c r="F15" s="7" t="str">
        <x:v>draft</x:v>
      </x:c>
      <x:c r="G15" s="7" t="str">
        <x:v>health</x:v>
      </x:c>
      <x:c r="H15" s="8" t="n">
        <x:v>1</x:v>
      </x:c>
      <x:c r="I15" s="8" t="n">
        <x:v>0</x:v>
      </x:c>
      <x:c r="J15" s="8" t="n">
        <x:v>0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{"status":"draft","module":"health"}</x:v>
      </x:c>
      <x:c r="P15" s="7" t="str">
        <x:v>{"id":"e8e7fd5f-64eb-4546-832c-43840dfcfffc","title":"查看手机使用情况","notes":"","date":null,"time":null,"amount":null,"kind":null,"category":null,"account":null,"timezone":"Asia/Shanghai"}</x:v>
      </x:c>
    </x:row>
    <x:row r="16" ht="132" customHeight="1">
      <x:c r="A16" s="7" t="str">
        <x:v>v2-schedule-zh-14</x:v>
      </x:c>
      <x:c r="B16" s="7" t="str">
        <x:v>schedule</x:v>
      </x:c>
      <x:c r="C16" s="7" t="str">
        <x:v>可能明天晚上6点举行诗歌朗读会，生成日程草稿。</x:v>
      </x:c>
      <x:c r="D16" s="7" t="str">
        <x:v>draft</x:v>
      </x:c>
      <x:c r="E16" s="7" t="str">
        <x:v>schedule</x:v>
      </x:c>
      <x:c r="F16" s="7" t="str">
        <x:v>draft</x:v>
      </x:c>
      <x:c r="G16" s="7" t="str">
        <x:v>schedule</x:v>
      </x:c>
      <x:c r="H16" s="8" t="n">
        <x:v>1</x:v>
      </x:c>
      <x:c r="I16" s="8" t="n">
        <x:v>2</x:v>
      </x:c>
      <x:c r="J16" s="8" t="n">
        <x:v>2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{"status":"draft","module":"schedule","title":{"containsAny":["诗歌"]},"date":null,"time":"18:00"}</x:v>
      </x:c>
      <x:c r="P16" s="7" t="str">
        <x:v>{"id":"dccd5bc5-8b72-48a8-8bb4-0f596d2c97ca","title":"诗歌朗读会","notes":"","date":null,"time":"18:00","amount":null,"kind":null,"category":null,"account":null,"timezone":"Asia/Shanghai"}</x:v>
      </x:c>
    </x:row>
    <x:row r="17" ht="132" customHeight="1">
      <x:c r="A17" s="7" t="str">
        <x:v>v2-finance-zh-21</x:v>
      </x:c>
      <x:c r="B17" s="7" t="str">
        <x:v>finance</x:v>
      </x:c>
      <x:c r="C17" s="7" t="str">
        <x:v>记录今天现金在面包店消费19.90元。</x:v>
      </x:c>
      <x:c r="D17" s="7" t="str">
        <x:v>draft</x:v>
      </x:c>
      <x:c r="E17" s="7" t="str">
        <x:v>finance</x:v>
      </x:c>
      <x:c r="F17" s="7" t="str">
        <x:v>draft</x:v>
      </x:c>
      <x:c r="G17" s="7" t="str">
        <x:v>finance</x:v>
      </x:c>
      <x:c r="H17" s="8" t="n">
        <x:v>1</x:v>
      </x:c>
      <x:c r="I17" s="8" t="n">
        <x:v>6</x:v>
      </x:c>
      <x:c r="J17" s="8" t="n">
        <x:v>6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{"status":"draft","module":"finance","title":{"containsAny":["面包"]},"amount":"19.90","account":"Cash","kind":"expense","date":"2026-10-02","category":"Food &amp; Drinks"}</x:v>
      </x:c>
      <x:c r="P17" s="7" t="str">
        <x:v>{"id":"d9c09e5e-1a97-4065-9cfc-04620b944d9b","title":"今天现金在面包店消费19.90元。","notes":"面包店","date":"2026-10-02","time":null,"amount":"19.90","kind":"expense","category":"Food &amp; Drinks","account":"Cash","timezone":"Asia/Shanghai"}</x:v>
      </x:c>
    </x:row>
    <x:row r="18" ht="132" customHeight="1">
      <x:c r="A18" s="7" t="str">
        <x:v>v2-memo-zh-10</x:v>
      </x:c>
      <x:c r="B18" s="7" t="str">
        <x:v>memo</x:v>
      </x:c>
      <x:c r="C18" s="7" t="str">
        <x:v>记个任务：后天给标本罐贴标签。</x:v>
      </x:c>
      <x:c r="D18" s="7" t="str">
        <x:v>draft</x:v>
      </x:c>
      <x:c r="E18" s="7" t="str">
        <x:v>memo</x:v>
      </x:c>
      <x:c r="F18" s="7" t="str">
        <x:v>draft</x:v>
      </x:c>
      <x:c r="G18" s="7" t="str">
        <x:v>memo</x:v>
      </x:c>
      <x:c r="H18" s="8" t="n">
        <x:v>1</x:v>
      </x:c>
      <x:c r="I18" s="8" t="n">
        <x:v>2</x:v>
      </x:c>
      <x:c r="J18" s="8" t="n">
        <x:v>2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{"status":"draft","module":"memo","title":{"containsAny":["标本","标签"]},"date":"2026-10-04","priority":null}</x:v>
      </x:c>
      <x:c r="P18" s="7" t="str">
        <x:v>{"id":"20aa4b27-53bb-45d7-8afc-fa43621c6b6a","title":"给标本罐贴标签","notes":"","dueDate":"2026-10-04","timezone":"Asia/Shanghai","priority":null,"dateText":"后天","warnings":["priority_missing"]}</x:v>
      </x:c>
    </x:row>
    <x:row r="19" ht="132" customHeight="1">
      <x:c r="A19" s="7" t="str">
        <x:v>v2-finance-zh-08</x:v>
      </x:c>
      <x:c r="B19" s="7" t="str">
        <x:v>finance</x:v>
      </x:c>
      <x:c r="C19" s="7" t="str">
        <x:v>记录今天现金购买演唱会门票92元。</x:v>
      </x:c>
      <x:c r="D19" s="7" t="str">
        <x:v>draft</x:v>
      </x:c>
      <x:c r="E19" s="7" t="str">
        <x:v>finance</x:v>
      </x:c>
      <x:c r="F19" s="7" t="str">
        <x:v>draft</x:v>
      </x:c>
      <x:c r="G19" s="7" t="str">
        <x:v>finance</x:v>
      </x:c>
      <x:c r="H19" s="8" t="n">
        <x:v>1</x:v>
      </x:c>
      <x:c r="I19" s="8" t="n">
        <x:v>6</x:v>
      </x:c>
      <x:c r="J19" s="8" t="n">
        <x:v>6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{"status":"draft","module":"finance","title":{"containsAny":["演唱会"]},"amount":"92","account":"Cash","kind":"expense","date":"2026-10-02","category":"Entertainment"}</x:v>
      </x:c>
      <x:c r="P19" s="7" t="str">
        <x:v>{"id":"9219686f-8244-4fa3-b0a5-e56c1c9ac57e","title":"演唱会门票","notes":"","date":"2026-10-02","time":null,"amount":"92","kind":"expense","category":"Entertainment","account":"Cash","timezone":"Asia/Shanghai"}</x:v>
      </x:c>
    </x:row>
    <x:row r="20" ht="132" customHeight="1">
      <x:c r="A20" s="7" t="str">
        <x:v>v2-schedule-zh-13</x:v>
      </x:c>
      <x:c r="B20" s="7" t="str">
        <x:v>schedule</x:v>
      </x:c>
      <x:c r="C20" s="7" t="str">
        <x:v>添加08:40的门诊预约，日期待定。</x:v>
      </x:c>
      <x:c r="D20" s="7" t="str">
        <x:v>draft</x:v>
      </x:c>
      <x:c r="E20" s="7" t="str">
        <x:v>schedule</x:v>
      </x:c>
      <x:c r="F20" s="7" t="str">
        <x:v>draft</x:v>
      </x:c>
      <x:c r="G20" s="7" t="str">
        <x:v>schedule</x:v>
      </x:c>
      <x:c r="H20" s="8" t="n">
        <x:v>1</x:v>
      </x:c>
      <x:c r="I20" s="8" t="n">
        <x:v>2</x:v>
      </x:c>
      <x:c r="J20" s="8" t="n">
        <x:v>2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{"status":"draft","module":"schedule","title":{"containsAny":["门诊"]},"date":null,"time":"08:40"}</x:v>
      </x:c>
      <x:c r="P20" s="7" t="str">
        <x:v>{"id":"2ac36811-9e0b-44ae-abf1-51f8ee360134","title":"门诊预约","notes":"","date":null,"time":"08:40","amount":null,"kind":null,"category":null,"account":null,"timezone":"Asia/Shanghai"}</x:v>
      </x:c>
    </x:row>
    <x:row r="21" ht="132" customHeight="1">
      <x:c r="A21" s="7" t="str">
        <x:v>v2-schedule-zh-28</x:v>
      </x:c>
      <x:c r="B21" s="7" t="str">
        <x:v>schedule</x:v>
      </x:c>
      <x:c r="C21" s="7" t="str">
        <x:v>安排明天读书会，再记录38元食品支出。</x:v>
      </x:c>
      <x:c r="D21" s="7" t="str">
        <x:v>clarification</x:v>
      </x:c>
      <x:c r="E21" s="7" t="str"/>
      <x:c r="F21" s="7" t="str">
        <x:v>clarification</x:v>
      </x:c>
      <x:c r="G21" s="7" t="str"/>
      <x:c r="H21" s="8" t="n">
        <x:v>1</x:v>
      </x:c>
      <x:c r="I21" s="8" t="n">
        <x:v>0</x:v>
      </x:c>
      <x:c r="J21" s="8" t="n">
        <x:v>0</x:v>
      </x:c>
      <x:c r="K21" s="8" t="n">
        <x:v>1</x:v>
      </x:c>
      <x:c r="L21" s="8" t="n">
        <x:v>0</x:v>
      </x:c>
      <x:c r="M21" s="8" t="n">
        <x:v>0</x:v>
      </x:c>
      <x:c r="N21" s="7" t="str"/>
      <x:c r="O21" s="7" t="str">
        <x:v>{"status":"clarification","module":null}</x:v>
      </x:c>
      <x:c r="P21" s="7" t="str">
        <x:v>{"status":"clarification","reason":"multiple_tasks","module":null,"draft":null,"fields":null}</x:v>
      </x:c>
    </x:row>
    <x:row r="22" ht="132" customHeight="1">
      <x:c r="A22" s="7" t="str">
        <x:v>v2-health-zh-11</x:v>
      </x:c>
      <x:c r="B22" s="7" t="str">
        <x:v>health</x:v>
      </x:c>
      <x:c r="C22" s="7" t="str">
        <x:v>显示应用使用情况，我在回顾学习习惯。</x:v>
      </x:c>
      <x:c r="D22" s="7" t="str">
        <x:v>draft</x:v>
      </x:c>
      <x:c r="E22" s="7" t="str">
        <x:v>health</x:v>
      </x:c>
      <x:c r="F22" s="7" t="str">
        <x:v>draft</x:v>
      </x:c>
      <x:c r="G22" s="7" t="str">
        <x:v>health</x:v>
      </x:c>
      <x:c r="H22" s="8" t="n">
        <x:v>1</x:v>
      </x:c>
      <x:c r="I22" s="8" t="n">
        <x:v>0</x:v>
      </x:c>
      <x:c r="J22" s="8" t="n">
        <x:v>0</x:v>
      </x:c>
      <x:c r="K22" s="8" t="n">
        <x:v>1</x:v>
      </x:c>
      <x:c r="L22" s="8" t="n">
        <x:v>1</x:v>
      </x:c>
      <x:c r="M22" s="8" t="n">
        <x:v>1</x:v>
      </x:c>
      <x:c r="N22" s="7" t="str"/>
      <x:c r="O22" s="7" t="str">
        <x:v>{"status":"draft","module":"health"}</x:v>
      </x:c>
      <x:c r="P22" s="7" t="str">
        <x:v>{"id":"243a8c2f-aa5e-43ca-a06b-e8575679e074","title":"查看手机使用情况","notes":"","date":null,"time":null,"amount":null,"kind":null,"category":null,"account":null,"timezone":"Asia/Shanghai"}</x:v>
      </x:c>
    </x:row>
    <x:row r="23" ht="132" customHeight="1">
      <x:c r="A23" s="7" t="str">
        <x:v>v2-health-zh-29</x:v>
      </x:c>
      <x:c r="B23" s="7" t="str">
        <x:v>health</x:v>
      </x:c>
      <x:c r="C23" s="7" t="str">
        <x:v>打开屏幕使用情况，再记录27元出租车支出。</x:v>
      </x:c>
      <x:c r="D23" s="7" t="str">
        <x:v>clarification</x:v>
      </x:c>
      <x:c r="E23" s="7" t="str"/>
      <x:c r="F23" s="7" t="str">
        <x:v>clarification</x:v>
      </x:c>
      <x:c r="G23" s="7" t="str"/>
      <x:c r="H23" s="8" t="n">
        <x:v>1</x:v>
      </x:c>
      <x:c r="I23" s="8" t="n">
        <x:v>0</x:v>
      </x:c>
      <x:c r="J23" s="8" t="n">
        <x:v>0</x:v>
      </x:c>
      <x:c r="K23" s="8" t="n">
        <x:v>1</x:v>
      </x:c>
      <x:c r="L23" s="8" t="n">
        <x:v>0</x:v>
      </x:c>
      <x:c r="M23" s="8" t="n">
        <x:v>0</x:v>
      </x:c>
      <x:c r="N23" s="7" t="str"/>
      <x:c r="O23" s="7" t="str">
        <x:v>{"status":"clarification","module":null}</x:v>
      </x:c>
      <x:c r="P23" s="7" t="str">
        <x:v>{"status":"clarification","reason":"multiple_tasks","module":null,"draft":null,"fields":null}</x:v>
      </x:c>
    </x:row>
    <x:row r="24" ht="132" customHeight="1">
      <x:c r="A24" s="7" t="str">
        <x:v>v2-health-zh-01</x:v>
      </x:c>
      <x:c r="B24" s="7" t="str">
        <x:v>health</x:v>
      </x:c>
      <x:c r="C24" s="7" t="str">
        <x:v>请打开今天的手机使用概览。</x:v>
      </x:c>
      <x:c r="D24" s="7" t="str">
        <x:v>draft</x:v>
      </x:c>
      <x:c r="E24" s="7" t="str">
        <x:v>health</x:v>
      </x:c>
      <x:c r="F24" s="7" t="str">
        <x:v>draft</x:v>
      </x:c>
      <x:c r="G24" s="7" t="str">
        <x:v>health</x:v>
      </x:c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1</x:v>
      </x:c>
      <x:c r="M24" s="8" t="n">
        <x:v>1</x:v>
      </x:c>
      <x:c r="N24" s="7" t="str"/>
      <x:c r="O24" s="7" t="str">
        <x:v>{"status":"draft","module":"health"}</x:v>
      </x:c>
      <x:c r="P24" s="7" t="str">
        <x:v>{"id":"0cbc9c28-d2e0-49ef-9fc5-6be657dbd672","title":"查看手机使用情况","notes":"","date":"2026-10-02","time":null,"amount":null,"kind":null,"category":null,"account":null,"timezone":"Asia/Shanghai"}</x:v>
      </x:c>
    </x:row>
    <x:row r="25" ht="132" customHeight="1">
      <x:c r="A25" s="7" t="str">
        <x:v>v2-finance-zh-26</x:v>
      </x:c>
      <x:c r="B25" s="7" t="str">
        <x:v>finance</x:v>
      </x:c>
      <x:c r="C25" s="7" t="str">
        <x:v>记录今天剧院门票81元，未记录付款账户。</x:v>
      </x:c>
      <x:c r="D25" s="7" t="str">
        <x:v>draft</x:v>
      </x:c>
      <x:c r="E25" s="7" t="str">
        <x:v>finance</x:v>
      </x:c>
      <x:c r="F25" s="7" t="str">
        <x:v>draft</x:v>
      </x:c>
      <x:c r="G25" s="7" t="str">
        <x:v>finance</x:v>
      </x:c>
      <x:c r="H25" s="8" t="n">
        <x:v>1</x:v>
      </x:c>
      <x:c r="I25" s="8" t="n">
        <x:v>6</x:v>
      </x:c>
      <x:c r="J25" s="8" t="n">
        <x:v>6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{"status":"draft","module":"finance","title":{"containsAny":["剧院","门票"]},"amount":"81","account":null,"kind":"expense","date":"2026-10-02","category":"Entertainment"}</x:v>
      </x:c>
      <x:c r="P25" s="7" t="str">
        <x:v>{"id":"c0222a9f-e10a-43fc-be47-c1f20b20de80","title":"剧院门票","notes":"81元","date":"2026-10-02","time":null,"amount":"81","kind":"expense","category":"Entertainment","account":null,"timezone":"Asia/Shanghai"}</x:v>
      </x:c>
    </x:row>
    <x:row r="26" ht="132" customHeight="1">
      <x:c r="A26" s="7" t="str">
        <x:v>v2-memo-zh-25</x:v>
      </x:c>
      <x:c r="B26" s="7" t="str">
        <x:v>memo</x:v>
      </x:c>
      <x:c r="C26" s="7" t="str">
        <x:v>创建紧急待办，今天提交出勤表。</x:v>
      </x:c>
      <x:c r="D26" s="7" t="str">
        <x:v>draft</x:v>
      </x:c>
      <x:c r="E26" s="7" t="str">
        <x:v>memo</x:v>
      </x:c>
      <x:c r="F26" s="7" t="str">
        <x:v>draft</x:v>
      </x:c>
      <x:c r="G26" s="7" t="str">
        <x:v>memo</x:v>
      </x:c>
      <x:c r="H26" s="8" t="n">
        <x:v>1</x:v>
      </x:c>
      <x:c r="I26" s="8" t="n">
        <x:v>2</x:v>
      </x:c>
      <x:c r="J26" s="8" t="n">
        <x:v>2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{"status":"draft","module":"memo","title":{"containsAny":["出勤"]},"date":"2026-10-02","priority":"urgent"}</x:v>
      </x:c>
      <x:c r="P26" s="7" t="str">
        <x:v>{"id":"2d5c0330-8195-428f-bf9d-19b0ab7eb050","title":"提交出勤表","notes":"紧急待办","dueDate":"2026-10-02","timezone":"Asia/Shanghai","priority":"urgent","dateText":"今天","warnings":[]}</x:v>
      </x:c>
    </x:row>
    <x:row r="27" ht="132" customHeight="1">
      <x:c r="A27" s="7" t="str">
        <x:v>v2-health-zh-08</x:v>
      </x:c>
      <x:c r="B27" s="7" t="str">
        <x:v>health</x:v>
      </x:c>
      <x:c r="C27" s="7" t="str">
        <x:v>让我查看前台应用使用列表。</x:v>
      </x:c>
      <x:c r="D27" s="7" t="str">
        <x:v>draft</x:v>
      </x:c>
      <x:c r="E27" s="7" t="str">
        <x:v>health</x:v>
      </x:c>
      <x:c r="F27" s="7" t="str">
        <x:v>draft</x:v>
      </x:c>
      <x:c r="G27" s="7" t="str">
        <x:v>health</x:v>
      </x:c>
      <x:c r="H27" s="8" t="n">
        <x:v>1</x:v>
      </x:c>
      <x:c r="I27" s="8" t="n">
        <x:v>0</x:v>
      </x:c>
      <x:c r="J27" s="8" t="n">
        <x:v>0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{"status":"draft","module":"health"}</x:v>
      </x:c>
      <x:c r="P27" s="7" t="str">
        <x:v>{"id":"e238b3df-b564-4f74-bb68-26af663badad","title":"查看手机使用情况","notes":"","date":null,"time":null,"amount":null,"kind":null,"category":null,"account":null,"timezone":"Asia/Shanghai"}</x:v>
      </x:c>
    </x:row>
    <x:row r="28" ht="132" customHeight="1">
      <x:c r="A28" s="7" t="str">
        <x:v>v2-finance-zh-19</x:v>
      </x:c>
      <x:c r="B28" s="7" t="str">
        <x:v>finance</x:v>
      </x:c>
      <x:c r="C28" s="7" t="str">
        <x:v>记录今天银行卡支付房租2300元。</x:v>
      </x:c>
      <x:c r="D28" s="7" t="str">
        <x:v>draft</x:v>
      </x:c>
      <x:c r="E28" s="7" t="str">
        <x:v>finance</x:v>
      </x:c>
      <x:c r="F28" s="7" t="str">
        <x:v>draft</x:v>
      </x:c>
      <x:c r="G28" s="7" t="str">
        <x:v>finance</x:v>
      </x:c>
      <x:c r="H28" s="8" t="n">
        <x:v>1</x:v>
      </x:c>
      <x:c r="I28" s="8" t="n">
        <x:v>6</x:v>
      </x:c>
      <x:c r="J28" s="8" t="n">
        <x:v>6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{"status":"draft","module":"finance","title":{"containsAny":["房租"]},"amount":"2300","account":"Bank Card","kind":"expense","date":"2026-10-02","category":"Bills"}</x:v>
      </x:c>
      <x:c r="P28" s="7" t="str">
        <x:v>{"id":"98ac2286-f673-4e5e-8110-545bb3797da5","title":"房租","notes":"","date":"2026-10-02","time":null,"amount":"2300","kind":"expense","category":"Bills","account":"Bank Card","timezone":"Asia/Shanghai"}</x:v>
      </x:c>
    </x:row>
    <x:row r="29" ht="132" customHeight="1">
      <x:c r="A29" s="7" t="str">
        <x:v>v2-schedule-zh-27</x:v>
      </x:c>
      <x:c r="B29" s="7" t="str">
        <x:v>schedule</x:v>
      </x:c>
      <x:c r="C29" s="7" t="str">
        <x:v>创建明天10:30的校园参观与午餐日程。</x:v>
      </x:c>
      <x:c r="D29" s="7" t="str">
        <x:v>draft</x:v>
      </x:c>
      <x:c r="E29" s="7" t="str">
        <x:v>schedule</x:v>
      </x:c>
      <x:c r="F29" s="7" t="str">
        <x:v>draft</x:v>
      </x:c>
      <x:c r="G29" s="7" t="str">
        <x:v>schedule</x:v>
      </x:c>
      <x:c r="H29" s="8" t="n">
        <x:v>1</x:v>
      </x:c>
      <x:c r="I29" s="8" t="n">
        <x:v>2</x:v>
      </x:c>
      <x:c r="J29" s="8" t="n">
        <x:v>2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{"status":"draft","module":"schedule","title":{"containsAny":["校园","参观"]},"date":"2026-10-03","time":"10:30"}</x:v>
      </x:c>
      <x:c r="P29" s="7" t="str">
        <x:v>{"id":"63349f27-3891-4d61-ab75-c8f65c03922d","title":"校园参观与午餐","notes":"","date":"2026-10-03","time":"10:30","amount":null,"kind":null,"category":null,"account":null,"timezone":"Asia/Shanghai"}</x:v>
      </x:c>
    </x:row>
    <x:row r="30" ht="132" customHeight="1">
      <x:c r="A30" s="7" t="str">
        <x:v>v2-finance-zh-06</x:v>
      </x:c>
      <x:c r="B30" s="7" t="str">
        <x:v>finance</x:v>
      </x:c>
      <x:c r="C30" s="7" t="str">
        <x:v>记录今天微信收到红包88元。</x:v>
      </x:c>
      <x:c r="D30" s="7" t="str">
        <x:v>draft</x:v>
      </x:c>
      <x:c r="E30" s="7" t="str">
        <x:v>finance</x:v>
      </x:c>
      <x:c r="F30" s="7" t="str">
        <x:v>draft</x:v>
      </x:c>
      <x:c r="G30" s="7" t="str">
        <x:v>finance</x:v>
      </x:c>
      <x:c r="H30" s="8" t="n">
        <x:v>1</x:v>
      </x:c>
      <x:c r="I30" s="8" t="n">
        <x:v>6</x:v>
      </x:c>
      <x:c r="J30" s="8" t="n">
        <x:v>6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{"status":"draft","module":"finance","title":{"containsAny":["红包"]},"amount":"88","account":"WeChat","kind":"income","date":"2026-10-02","category":"Gift"}</x:v>
      </x:c>
      <x:c r="P30" s="7" t="str">
        <x:v>{"id":"baf7a949-22f1-4d17-983a-6bae22276adf","title":"红包","notes":"","date":"2026-10-02","time":null,"amount":"88","kind":"income","category":"Gift","account":"WeChat","timezone":"Asia/Shanghai"}</x:v>
      </x:c>
    </x:row>
    <x:row r="31" ht="132" customHeight="1">
      <x:c r="A31" s="7" t="str">
        <x:v>v2-schedule-zh-17</x:v>
      </x:c>
      <x:c r="B31" s="7" t="str">
        <x:v>schedule</x:v>
      </x:c>
      <x:c r="C31" s="7" t="str">
        <x:v>日历添加2026年2月30日的验光预约。</x:v>
      </x:c>
      <x:c r="D31" s="7" t="str">
        <x:v>draft</x:v>
      </x:c>
      <x:c r="E31" s="7" t="str">
        <x:v>schedule</x:v>
      </x:c>
      <x:c r="F31" s="7" t="str">
        <x:v>draft</x:v>
      </x:c>
      <x:c r="G31" s="7" t="str">
        <x:v>schedule</x:v>
      </x:c>
      <x:c r="H31" s="8" t="n">
        <x:v>1</x:v>
      </x:c>
      <x:c r="I31" s="8" t="n">
        <x:v>2</x:v>
      </x:c>
      <x:c r="J31" s="8" t="n">
        <x:v>2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{"status":"draft","module":"schedule","title":{"containsAny":["验光"]},"date":null,"time":null}</x:v>
      </x:c>
      <x:c r="P31" s="7" t="str">
        <x:v>{"id":"f29c0663-0d4a-4812-9543-b99faf601130","title":"验光预约","notes":"","date":null,"time":null,"amount":null,"kind":null,"category":null,"account":null,"timezone":"Asia/Shanghai"}</x:v>
      </x:c>
    </x:row>
    <x:row r="32" ht="132" customHeight="1">
      <x:c r="A32" s="7" t="str">
        <x:v>v2-schedule-zh-24</x:v>
      </x:c>
      <x:c r="B32" s="7" t="str">
        <x:v>schedule</x:v>
      </x:c>
      <x:c r="C32" s="7" t="str">
        <x:v>新增日程：今天见指导老师。</x:v>
      </x:c>
      <x:c r="D32" s="7" t="str">
        <x:v>draft</x:v>
      </x:c>
      <x:c r="E32" s="7" t="str">
        <x:v>schedule</x:v>
      </x:c>
      <x:c r="F32" s="7" t="str">
        <x:v>draft</x:v>
      </x:c>
      <x:c r="G32" s="7" t="str">
        <x:v>schedule</x:v>
      </x:c>
      <x:c r="H32" s="8" t="n">
        <x:v>1</x:v>
      </x:c>
      <x:c r="I32" s="8" t="n">
        <x:v>2</x:v>
      </x:c>
      <x:c r="J32" s="8" t="n">
        <x:v>2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{"status":"draft","module":"schedule","title":{"containsAny":["指导","老师"]},"date":"2026-10-03","time":null}</x:v>
      </x:c>
      <x:c r="P32" s="7" t="str">
        <x:v>{"id":"ac593013-6746-4be2-a28a-648c6d31d7a4","title":"见指导老师","notes":"","date":"2026-10-03","time":null,"amount":null,"kind":null,"category":null,"account":null,"timezone":"Asia/Shanghai"}</x:v>
      </x:c>
    </x:row>
    <x:row r="33" ht="132" customHeight="1">
      <x:c r="A33" s="7" t="str">
        <x:v>v2-health-zh-20</x:v>
      </x:c>
      <x:c r="B33" s="7" t="str">
        <x:v>health</x:v>
      </x:c>
      <x:c r="C33" s="7" t="str">
        <x:v>查询上周手机使用情况。</x:v>
      </x:c>
      <x:c r="D33" s="7" t="str">
        <x:v>clarification</x:v>
      </x:c>
      <x:c r="E33" s="7" t="str"/>
      <x:c r="F33" s="7" t="str">
        <x:v>clarification</x:v>
      </x:c>
      <x:c r="G33" s="7" t="str"/>
      <x:c r="H33" s="8" t="n">
        <x:v>1</x:v>
      </x:c>
      <x:c r="I33" s="8" t="n">
        <x:v>0</x:v>
      </x:c>
      <x:c r="J33" s="8" t="n">
        <x:v>0</x:v>
      </x:c>
      <x:c r="K33" s="8" t="n">
        <x:v>1</x:v>
      </x:c>
      <x:c r="L33" s="8" t="n">
        <x:v>0</x:v>
      </x:c>
      <x:c r="M33" s="8" t="n">
        <x:v>0</x:v>
      </x:c>
      <x:c r="N33" s="7" t="str"/>
      <x:c r="O33" s="7" t="str">
        <x:v>{"status":"clarification","module":null}</x:v>
      </x:c>
      <x:c r="P33" s="7" t="str">
        <x:v>{"status":"clarification","reason":"health_today_only","module":null,"draft":null,"fields":null}</x:v>
      </x:c>
    </x:row>
    <x:row r="34" ht="132" customHeight="1">
      <x:c r="A34" s="7" t="str">
        <x:v>v2-memo-zh-18</x:v>
      </x:c>
      <x:c r="B34" s="7" t="str">
        <x:v>memo</x:v>
      </x:c>
      <x:c r="C34" s="7" t="str">
        <x:v>添加任务，10天后检查参考文献。</x:v>
      </x:c>
      <x:c r="D34" s="7" t="str">
        <x:v>draft</x:v>
      </x:c>
      <x:c r="E34" s="7" t="str">
        <x:v>memo</x:v>
      </x:c>
      <x:c r="F34" s="7" t="str">
        <x:v>draft</x:v>
      </x:c>
      <x:c r="G34" s="7" t="str">
        <x:v>memo</x:v>
      </x:c>
      <x:c r="H34" s="8" t="n">
        <x:v>1</x:v>
      </x:c>
      <x:c r="I34" s="8" t="n">
        <x:v>2</x:v>
      </x:c>
      <x:c r="J34" s="8" t="n">
        <x:v>2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{"status":"draft","module":"memo","title":{"containsAny":["参考文献"]},"date":"2026-10-12","priority":null}</x:v>
      </x:c>
      <x:c r="P34" s="7" t="str">
        <x:v>{"id":"77afe44b-7a3b-498a-bd49-b341843ffc8a","title":"检查参考文献","notes":"","dueDate":"2026-10-12","timezone":"Asia/Shanghai","priority":null,"dateText":"10天后","warnings":["priority_missing"]}</x:v>
      </x:c>
    </x:row>
    <x:row r="35" ht="132" customHeight="1">
      <x:c r="A35" s="7" t="str">
        <x:v>v2-schedule-zh-05</x:v>
      </x:c>
      <x:c r="B35" s="7" t="str">
        <x:v>schedule</x:v>
      </x:c>
      <x:c r="C35" s="7" t="str">
        <x:v>添加2026年10月21日16:25的牙医预约。</x:v>
      </x:c>
      <x:c r="D35" s="7" t="str">
        <x:v>draft</x:v>
      </x:c>
      <x:c r="E35" s="7" t="str">
        <x:v>schedule</x:v>
      </x:c>
      <x:c r="F35" s="7" t="str">
        <x:v>draft</x:v>
      </x:c>
      <x:c r="G35" s="7" t="str">
        <x:v>schedule</x:v>
      </x:c>
      <x:c r="H35" s="8" t="n">
        <x:v>1</x:v>
      </x:c>
      <x:c r="I35" s="8" t="n">
        <x:v>2</x:v>
      </x:c>
      <x:c r="J35" s="8" t="n">
        <x:v>2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{"status":"draft","module":"schedule","title":{"containsAny":["牙医"]},"date":"2026-10-21","time":"16:25"}</x:v>
      </x:c>
      <x:c r="P35" s="7" t="str">
        <x:v>{"id":"305502ff-6200-4a3c-bdf4-d0e01d4bd0c7","title":"牙医预约","notes":"","date":"2026-10-21","time":"16:25","amount":null,"kind":null,"category":null,"account":null,"timezone":"Asia/Shanghai"}</x:v>
      </x:c>
    </x:row>
    <x:row r="36" ht="132" customHeight="1">
      <x:c r="A36" s="7" t="str">
        <x:v>v2-finance-zh-04</x:v>
      </x:c>
      <x:c r="B36" s="7" t="str">
        <x:v>finance</x:v>
      </x:c>
      <x:c r="C36" s="7" t="str">
        <x:v>记一笔今天奖学金收入3600元，转入银行卡。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{"status":"draft","module":"finance","title":{"containsAny":["奖学金"]},"amount":"3600","account":"Bank Card","kind":"income","date":"2026-10-02","category":"Scholarship"}</x:v>
      </x:c>
      <x:c r="P36" s="7" t="str">
        <x:v>{"id":"c0cd3f44-2a8b-4f09-8eb6-e15c4ba350b9","title":"奖学金收入","notes":"转入银行卡","date":"2026-10-02","time":null,"amount":"3600","kind":"income","category":"Scholarship","account":"Bank Card","timezone":"Asia/Shanghai"}</x:v>
      </x:c>
    </x:row>
    <x:row r="37" ht="132" customHeight="1">
      <x:c r="A37" s="7" t="str">
        <x:v>v2-finance-zh-03</x:v>
      </x:c>
      <x:c r="B37" s="7" t="str">
        <x:v>finance</x:v>
      </x:c>
      <x:c r="C37" s="7" t="str">
        <x:v>记录今天银行卡到账工资7100元。</x:v>
      </x:c>
      <x:c r="D37" s="7" t="str">
        <x:v>draft</x:v>
      </x:c>
      <x:c r="E37" s="7" t="str">
        <x:v>finance</x:v>
      </x:c>
      <x:c r="F37" s="7" t="str">
        <x:v>draft</x:v>
      </x:c>
      <x:c r="G37" s="7" t="str">
        <x:v>finance</x:v>
      </x:c>
      <x:c r="H37" s="8" t="n">
        <x:v>1</x:v>
      </x:c>
      <x:c r="I37" s="8" t="n">
        <x:v>6</x:v>
      </x:c>
      <x:c r="J37" s="8" t="n">
        <x:v>6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{"status":"draft","module":"finance","title":{"containsAny":["工资"]},"amount":"7100","account":"Bank Card","kind":"income","date":"2026-10-02","category":"Salary"}</x:v>
      </x:c>
      <x:c r="P37" s="7" t="str">
        <x:v>{"id":"4fd4f239-1c62-4f0f-8c4f-1120848ec755","title":"工资到账","notes":"","date":"2026-10-02","time":null,"amount":"7100","kind":"income","category":"Salary","account":"Bank Card","timezone":"Asia/Shanghai"}</x:v>
      </x:c>
    </x:row>
    <x:row r="38" ht="132" customHeight="1">
      <x:c r="A38" s="7" t="str">
        <x:v>v2-health-zh-25</x:v>
      </x:c>
      <x:c r="B38" s="7" t="str">
        <x:v>health</x:v>
      </x:c>
      <x:c r="C38" s="7" t="str">
        <x:v>在健康模块记录血压118/76。</x:v>
      </x:c>
      <x:c r="D38" s="7" t="str">
        <x:v>clarification</x:v>
      </x:c>
      <x:c r="E38" s="7" t="str"/>
      <x:c r="F38" s="7" t="str">
        <x:v>clarification</x:v>
      </x:c>
      <x:c r="G38" s="7" t="str"/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7" t="str"/>
      <x:c r="O38" s="7" t="str">
        <x:v>{"status":"clarification","module":null}</x:v>
      </x:c>
      <x:c r="P38" s="7" t="str">
        <x:v>{"status":"clarification","reason":"health_unsupported","module":null,"draft":null,"fields":null}</x:v>
      </x:c>
    </x:row>
    <x:row r="39" ht="132" customHeight="1">
      <x:c r="A39" s="7" t="str">
        <x:v>v2-finance-zh-05</x:v>
      </x:c>
      <x:c r="B39" s="7" t="str">
        <x:v>finance</x:v>
      </x:c>
      <x:c r="C39" s="7" t="str">
        <x:v>记账：今天兼职收入180元，现金收款。</x:v>
      </x:c>
      <x:c r="D39" s="7" t="str">
        <x:v>draft</x:v>
      </x:c>
      <x:c r="E39" s="7" t="str">
        <x:v>finance</x:v>
      </x:c>
      <x:c r="F39" s="7" t="str">
        <x:v>draft</x:v>
      </x:c>
      <x:c r="G39" s="7" t="str">
        <x:v>finance</x:v>
      </x:c>
      <x:c r="H39" s="8" t="n">
        <x:v>1</x:v>
      </x:c>
      <x:c r="I39" s="8" t="n">
        <x:v>6</x:v>
      </x:c>
      <x:c r="J39" s="8" t="n">
        <x:v>6</x:v>
      </x:c>
      <x:c r="K39" s="8" t="n">
        <x:v>1</x:v>
      </x:c>
      <x:c r="L39" s="8" t="n">
        <x:v>1</x:v>
      </x:c>
      <x:c r="M39" s="8" t="n">
        <x:v>1</x:v>
      </x:c>
      <x:c r="N39" s="7" t="str"/>
      <x:c r="O39" s="7" t="str">
        <x:v>{"status":"draft","module":"finance","title":{"containsAny":["兼职"]},"amount":"180","account":"Cash","kind":"income","date":"2026-10-02","category":"Part-time Job"}</x:v>
      </x:c>
      <x:c r="P39" s="7" t="str">
        <x:v>{"id":"3c6043dd-4b33-4925-aea6-481017f1897a","title":"兼职收入","notes":"现金收款","date":"2026-10-02","time":null,"amount":"180","kind":"income","category":"Part-time Job","account":"Cash","timezone":"Asia/Shanghai"}</x:v>
      </x:c>
    </x:row>
    <x:row r="40" ht="132" customHeight="1">
      <x:c r="A40" s="7" t="str">
        <x:v>v2-health-zh-14</x:v>
      </x:c>
      <x:c r="B40" s="7" t="str">
        <x:v>health</x:v>
      </x:c>
      <x:c r="C40" s="7" t="str">
        <x:v>请打开今天的屏幕使用时长汇总。</x:v>
      </x:c>
      <x:c r="D40" s="7" t="str">
        <x:v>draft</x:v>
      </x:c>
      <x:c r="E40" s="7" t="str">
        <x:v>health</x:v>
      </x:c>
      <x:c r="F40" s="7" t="str">
        <x:v>draft</x:v>
      </x:c>
      <x:c r="G40" s="7" t="str">
        <x:v>health</x:v>
      </x:c>
      <x:c r="H40" s="8" t="n">
        <x:v>1</x:v>
      </x:c>
      <x:c r="I40" s="8" t="n">
        <x:v>0</x:v>
      </x:c>
      <x:c r="J40" s="8" t="n">
        <x:v>0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{"status":"draft","module":"health"}</x:v>
      </x:c>
      <x:c r="P40" s="7" t="str">
        <x:v>{"id":"53234989-25b0-4406-9b33-0b1ae1aa5500","title":"查看手机使用情况","notes":"","date":"2026-10-02","time":null,"amount":null,"kind":null,"category":null,"account":null,"timezone":"Asia/Shanghai"}</x:v>
      </x:c>
    </x:row>
    <x:row r="41" ht="132" customHeight="1">
      <x:c r="A41" s="7" t="str">
        <x:v>v2-finance-zh-17</x:v>
      </x:c>
      <x:c r="B41" s="7" t="str">
        <x:v>finance</x:v>
      </x:c>
      <x:c r="C41" s="7" t="str">
        <x:v>记录今天支付宝买果汁花了5.678元。</x:v>
      </x:c>
      <x:c r="D41" s="7" t="str">
        <x:v>draft</x:v>
      </x:c>
      <x:c r="E41" s="7" t="str">
        <x:v>finance</x:v>
      </x:c>
      <x:c r="F41" s="7" t="str">
        <x:v>draft</x:v>
      </x:c>
      <x:c r="G41" s="7" t="str">
        <x:v>finance</x:v>
      </x:c>
      <x:c r="H41" s="8" t="n">
        <x:v>1</x:v>
      </x:c>
      <x:c r="I41" s="8" t="n">
        <x:v>6</x:v>
      </x:c>
      <x:c r="J41" s="8" t="n">
        <x:v>6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{"status":"draft","module":"finance","title":{"containsAny":["果汁"]},"amount":null,"account":"Alipay","kind":"expense","date":"2026-10-02","category":"Food &amp; Drinks"}</x:v>
      </x:c>
      <x:c r="P41" s="7" t="str">
        <x:v>{"id":"3be30af1-55a0-488f-8c77-4d73110c07cf","title":"买果汁","notes":"","date":"2026-10-02","time":null,"amount":null,"kind":"expense","category":"Food &amp; Drinks","account":"Alipay","timezone":"Asia/Shanghai"}</x:v>
      </x:c>
    </x:row>
    <x:row r="42" ht="132" customHeight="1">
      <x:c r="A42" s="7" t="str">
        <x:v>v2-memo-zh-20</x:v>
      </x:c>
      <x:c r="B42" s="7" t="str">
        <x:v>memo</x:v>
      </x:c>
      <x:c r="C42" s="7" t="str">
        <x:v>创建待办，阅读光学书第12章。</x:v>
      </x:c>
      <x:c r="D42" s="7" t="str">
        <x:v>draft</x:v>
      </x:c>
      <x:c r="E42" s="7" t="str">
        <x:v>memo</x:v>
      </x:c>
      <x:c r="F42" s="7" t="str">
        <x:v>draft</x:v>
      </x:c>
      <x:c r="G42" s="7" t="str">
        <x:v>memo</x:v>
      </x:c>
      <x:c r="H42" s="8" t="n">
        <x:v>1</x:v>
      </x:c>
      <x:c r="I42" s="8" t="n">
        <x:v>2</x:v>
      </x:c>
      <x:c r="J42" s="8" t="n">
        <x:v>2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{"status":"draft","module":"memo","title":{"containsAny":["光学","12章"]},"date":null,"priority":null}</x:v>
      </x:c>
      <x:c r="P42" s="7" t="str">
        <x:v>{"id":"a9d3d0b2-ffac-4d62-9a39-4dadc0a90df1","title":"阅读光学书第12章","notes":"待办事项","dueDate":null,"timezone":"Asia/Shanghai","priority":null,"dateText":null,"warnings":["date_missing","priority_missing"]}</x:v>
      </x:c>
    </x:row>
    <x:row r="43" ht="132" customHeight="1">
      <x:c r="A43" s="7" t="str">
        <x:v>v2-memo-zh-15</x:v>
      </x:c>
      <x:c r="B43" s="7" t="str">
        <x:v>memo</x:v>
      </x:c>
      <x:c r="C43" s="7" t="str">
        <x:v>添加备忘录修改摘要，不着急。</x:v>
      </x:c>
      <x:c r="D43" s="7" t="str">
        <x:v>draft</x:v>
      </x:c>
      <x:c r="E43" s="7" t="str">
        <x:v>memo</x:v>
      </x:c>
      <x:c r="F43" s="7" t="str">
        <x:v>draft</x:v>
      </x:c>
      <x:c r="G43" s="7" t="str">
        <x:v>memo</x:v>
      </x:c>
      <x:c r="H43" s="8" t="n">
        <x:v>1</x:v>
      </x:c>
      <x:c r="I43" s="8" t="n">
        <x:v>2</x:v>
      </x:c>
      <x:c r="J43" s="8" t="n">
        <x:v>2</x:v>
      </x:c>
      <x:c r="K43" s="8" t="n">
        <x:v>1</x:v>
      </x:c>
      <x:c r="L43" s="8" t="n">
        <x:v>1</x:v>
      </x:c>
      <x:c r="M43" s="8" t="n">
        <x:v>1</x:v>
      </x:c>
      <x:c r="N43" s="7" t="str"/>
      <x:c r="O43" s="7" t="str">
        <x:v>{"status":"draft","module":"memo","title":{"containsAny":["摘要"]},"date":null,"priority":null}</x:v>
      </x:c>
      <x:c r="P43" s="7" t="str">
        <x:v>{"id":"c0f4e6bd-3ddd-44bd-92f6-ef8418759a53","title":"修改摘要","notes":"不着急","dueDate":null,"timezone":"Asia/Shanghai","priority":null,"dateText":null,"warnings":["date_missing","priority_missing"]}</x:v>
      </x:c>
    </x:row>
    <x:row r="44" ht="132" customHeight="1">
      <x:c r="A44" s="7" t="str">
        <x:v>v2-memo-zh-02</x:v>
      </x:c>
      <x:c r="B44" s="7" t="str">
        <x:v>memo</x:v>
      </x:c>
      <x:c r="C44" s="7" t="str">
        <x:v>添加普通优先级任务，今天归档辩论笔记。</x:v>
      </x:c>
      <x:c r="D44" s="7" t="str">
        <x:v>draft</x:v>
      </x:c>
      <x:c r="E44" s="7" t="str">
        <x:v>memo</x:v>
      </x:c>
      <x:c r="F44" s="7" t="str">
        <x:v>draft</x:v>
      </x:c>
      <x:c r="G44" s="7" t="str">
        <x:v>memo</x:v>
      </x:c>
      <x:c r="H44" s="8" t="n">
        <x:v>1</x:v>
      </x:c>
      <x:c r="I44" s="8" t="n">
        <x:v>2</x:v>
      </x:c>
      <x:c r="J44" s="8" t="n">
        <x:v>2</x:v>
      </x:c>
      <x:c r="K44" s="8" t="n">
        <x:v>1</x:v>
      </x:c>
      <x:c r="L44" s="8" t="n">
        <x:v>1</x:v>
      </x:c>
      <x:c r="M44" s="8" t="n">
        <x:v>1</x:v>
      </x:c>
      <x:c r="N44" s="7" t="str"/>
      <x:c r="O44" s="7" t="str">
        <x:v>{"status":"draft","module":"memo","title":{"containsAny":["辩论","笔记"]},"date":"2026-10-02","priority":"normal"}</x:v>
      </x:c>
      <x:c r="P44" s="7" t="str">
        <x:v>{"id":"cbe78863-9acf-4a1c-9ea1-d7a79f0f29b8","title":"归档辩论笔记","notes":"今天","dueDate":"2026-10-02","timezone":"Asia/Shanghai","priority":"normal","dateText":"今天","warnings":[]}</x:v>
      </x:c>
    </x:row>
    <x:row r="45" ht="132" customHeight="1">
      <x:c r="A45" s="7" t="str">
        <x:v>v2-memo-zh-06</x:v>
      </x:c>
      <x:c r="B45" s="7" t="str">
        <x:v>memo</x:v>
      </x:c>
      <x:c r="C45" s="7" t="str">
        <x:v>明天买自行车锁，记为待办，不是记账。</x:v>
      </x:c>
      <x:c r="D45" s="7" t="str">
        <x:v>draft</x:v>
      </x:c>
      <x:c r="E45" s="7" t="str">
        <x:v>memo</x:v>
      </x:c>
      <x:c r="F45" s="7" t="str">
        <x:v>draft</x:v>
      </x:c>
      <x:c r="G45" s="7" t="str">
        <x:v>memo</x:v>
      </x:c>
      <x:c r="H45" s="8" t="n">
        <x:v>1</x:v>
      </x:c>
      <x:c r="I45" s="8" t="n">
        <x:v>2</x:v>
      </x:c>
      <x:c r="J45" s="8" t="n">
        <x:v>2</x:v>
      </x:c>
      <x:c r="K45" s="8" t="n">
        <x:v>1</x:v>
      </x:c>
      <x:c r="L45" s="8" t="n">
        <x:v>1</x:v>
      </x:c>
      <x:c r="M45" s="8" t="n">
        <x:v>1</x:v>
      </x:c>
      <x:c r="N45" s="7" t="str"/>
      <x:c r="O45" s="7" t="str">
        <x:v>{"status":"draft","module":"memo","title":{"containsAny":["自行车","锁"]},"date":"2026-10-03","priority":null}</x:v>
      </x:c>
      <x:c r="P45" s="7" t="str">
        <x:v>{"id":"115e1b9b-8f9e-460c-b76b-de8aa8f36090","title":"买自行车锁","notes":"待办事项","dueDate":"2026-10-03","timezone":"Asia/Shanghai","priority":null,"dateText":"明天","warnings":["priority_missing"]}</x:v>
      </x:c>
    </x:row>
    <x:row r="46" ht="132" customHeight="1">
      <x:c r="A46" s="7" t="str">
        <x:v>v2-memo-zh-09</x:v>
      </x:c>
      <x:c r="B46" s="7" t="str">
        <x:v>memo</x:v>
      </x:c>
      <x:c r="C46" s="7" t="str">
        <x:v>添加高优先级任务，在2026年10月16日完成生态学练习。</x:v>
      </x:c>
      <x:c r="D46" s="7" t="str">
        <x:v>draft</x:v>
      </x:c>
      <x:c r="E46" s="7" t="str">
        <x:v>memo</x:v>
      </x:c>
      <x:c r="F46" s="7" t="str">
        <x:v>draft</x:v>
      </x:c>
      <x:c r="G46" s="7" t="str">
        <x:v>memo</x:v>
      </x:c>
      <x:c r="H46" s="8" t="n">
        <x:v>1</x:v>
      </x:c>
      <x:c r="I46" s="8" t="n">
        <x:v>2</x:v>
      </x:c>
      <x:c r="J46" s="8" t="n">
        <x:v>2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{"status":"draft","module":"memo","title":{"containsAny":["生态","练习"]},"date":"2026-10-16","priority":"important"}</x:v>
      </x:c>
      <x:c r="P46" s="7" t="str">
        <x:v>{"id":"f20468ff-9f24-4d29-9f23-54e2f095092b","title":"生态学练习","notes":"","dueDate":"2026-10-16","timezone":"Asia/Shanghai","priority":"important","dateText":"2026年10月16日","warnings":[]}</x:v>
      </x:c>
    </x:row>
    <x:row r="47" ht="132" customHeight="1">
      <x:c r="A47" s="7" t="str">
        <x:v>v2-health-zh-13</x:v>
      </x:c>
      <x:c r="B47" s="7" t="str">
        <x:v>health</x:v>
      </x:c>
      <x:c r="C47" s="7" t="str">
        <x:v>显示我今天手机用了多久。</x:v>
      </x:c>
      <x:c r="D47" s="7" t="str">
        <x:v>draft</x:v>
      </x:c>
      <x:c r="E47" s="7" t="str">
        <x:v>health</x:v>
      </x:c>
      <x:c r="F47" s="7" t="str">
        <x:v>draft</x:v>
      </x:c>
      <x:c r="G47" s="7" t="str">
        <x:v>health</x:v>
      </x:c>
      <x:c r="H47" s="8" t="n">
        <x:v>1</x:v>
      </x:c>
      <x:c r="I47" s="8" t="n">
        <x:v>0</x:v>
      </x:c>
      <x:c r="J47" s="8" t="n">
        <x:v>0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{"status":"draft","module":"health"}</x:v>
      </x:c>
      <x:c r="P47" s="7" t="str">
        <x:v>{"id":"7cc96eb8-92dc-47fc-9612-0d98e20c9aaa","title":"查看手机使用情况","notes":"","date":"2026-10-02","time":null,"amount":null,"kind":null,"category":null,"account":null,"timezone":"Asia/Shanghai"}</x:v>
      </x:c>
    </x:row>
    <x:row r="48" ht="132" customHeight="1">
      <x:c r="A48" s="7" t="str">
        <x:v>v2-memo-zh-21</x:v>
      </x:c>
      <x:c r="B48" s="7" t="str">
        <x:v>memo</x:v>
      </x:c>
      <x:c r="C48" s="7" t="str">
        <x:v>请新增备忘录，为学习小组买茶和饼干。</x:v>
      </x:c>
      <x:c r="D48" s="7" t="str">
        <x:v>draft</x:v>
      </x:c>
      <x:c r="E48" s="7" t="str">
        <x:v>memo</x:v>
      </x:c>
      <x:c r="F48" s="7" t="str">
        <x:v>draft</x:v>
      </x:c>
      <x:c r="G48" s="7" t="str">
        <x:v>memo</x:v>
      </x:c>
      <x:c r="H48" s="8" t="n">
        <x:v>1</x:v>
      </x:c>
      <x:c r="I48" s="8" t="n">
        <x:v>2</x:v>
      </x:c>
      <x:c r="J48" s="8" t="n">
        <x:v>2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{"status":"draft","module":"memo","title":{"containsAny":["茶","饼干"]},"date":null,"priority":null}</x:v>
      </x:c>
      <x:c r="P48" s="7" t="str">
        <x:v>{"id":"a94ca018-7ac6-45fb-a8e4-899abee3bad4","title":"为学习小组买茶和饼干","notes":"为学习小组买茶和饼干","dueDate":null,"timezone":"Asia/Shanghai","priority":null,"dateText":null,"warnings":["date_missing","priority_missing"]}</x:v>
      </x:c>
    </x:row>
    <x:row r="49" ht="132" customHeight="1">
      <x:c r="A49" s="7" t="str">
        <x:v>v2-schedule-zh-20</x:v>
      </x:c>
      <x:c r="B49" s="7" t="str">
        <x:v>schedule</x:v>
      </x:c>
      <x:c r="C49" s="7" t="str">
        <x:v>安排明天12:00和导师共进午餐。</x:v>
      </x:c>
      <x:c r="D49" s="7" t="str">
        <x:v>draft</x:v>
      </x:c>
      <x:c r="E49" s="7" t="str">
        <x:v>schedule</x:v>
      </x:c>
      <x:c r="F49" s="7" t="str">
        <x:v>draft</x:v>
      </x:c>
      <x:c r="G49" s="7" t="str">
        <x:v>schedule</x:v>
      </x:c>
      <x:c r="H49" s="8" t="n">
        <x:v>1</x:v>
      </x:c>
      <x:c r="I49" s="8" t="n">
        <x:v>2</x:v>
      </x:c>
      <x:c r="J49" s="8" t="n">
        <x:v>2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{"status":"draft","module":"schedule","title":{"containsAny":["导师","午餐"]},"date":"2026-10-03","time":"12:00"}</x:v>
      </x:c>
      <x:c r="P49" s="7" t="str">
        <x:v>{"id":"bf6c60ce-de23-4e29-969d-65756d86069b","title":"共进午餐","notes":"导师","date":"2026-10-03","time":"12:00","amount":null,"kind":null,"category":null,"account":null,"timezone":"Asia/Shanghai"}</x:v>
      </x:c>
    </x:row>
    <x:row r="50" ht="132" customHeight="1">
      <x:c r="A50" s="7" t="str">
        <x:v>v2-health-zh-03</x:v>
      </x:c>
      <x:c r="B50" s="7" t="str">
        <x:v>health</x:v>
      </x:c>
      <x:c r="C50" s="7" t="str">
        <x:v>显示今天应用使用报告。</x:v>
      </x:c>
      <x:c r="D50" s="7" t="str">
        <x:v>draft</x:v>
      </x:c>
      <x:c r="E50" s="7" t="str">
        <x:v>health</x:v>
      </x:c>
      <x:c r="F50" s="7" t="str">
        <x:v>draft</x:v>
      </x:c>
      <x:c r="G50" s="7" t="str">
        <x:v>health</x:v>
      </x:c>
      <x:c r="H50" s="8" t="n">
        <x:v>1</x:v>
      </x:c>
      <x:c r="I50" s="8" t="n">
        <x:v>0</x:v>
      </x:c>
      <x:c r="J50" s="8" t="n">
        <x:v>0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{"status":"draft","module":"health"}</x:v>
      </x:c>
      <x:c r="P50" s="7" t="str">
        <x:v>{"id":"47874ae8-b42f-4a0a-a820-82ed86cd8ab0","title":"查看手机使用情况","notes":"","date":"2026-10-02","time":null,"amount":null,"kind":null,"category":null,"account":null,"timezone":"Asia/Shanghai"}</x:v>
      </x:c>
    </x:row>
    <x:row r="51" ht="132" customHeight="1">
      <x:c r="A51" s="7" t="str">
        <x:v>v2-health-zh-19</x:v>
      </x:c>
      <x:c r="B51" s="7" t="str">
        <x:v>health</x:v>
      </x:c>
      <x:c r="C51" s="7" t="str">
        <x:v>显示昨天上午的屏幕使用时长。</x:v>
      </x:c>
      <x:c r="D51" s="7" t="str">
        <x:v>clarification</x:v>
      </x:c>
      <x:c r="E51" s="7" t="str"/>
      <x:c r="F51" s="7" t="str">
        <x:v>clarification</x:v>
      </x:c>
      <x:c r="G51" s="7" t="str"/>
      <x:c r="H51" s="8" t="n">
        <x:v>1</x:v>
      </x:c>
      <x:c r="I51" s="8" t="n">
        <x:v>0</x:v>
      </x:c>
      <x:c r="J51" s="8" t="n">
        <x:v>0</x:v>
      </x:c>
      <x:c r="K51" s="8" t="n">
        <x:v>1</x:v>
      </x:c>
      <x:c r="L51" s="8" t="n">
        <x:v>0</x:v>
      </x:c>
      <x:c r="M51" s="8" t="n">
        <x:v>0</x:v>
      </x:c>
      <x:c r="N51" s="7" t="str"/>
      <x:c r="O51" s="7" t="str">
        <x:v>{"status":"clarification","module":null}</x:v>
      </x:c>
      <x:c r="P51" s="7" t="str">
        <x:v>{"status":"clarification","reason":"health_today_only","module":null,"draft":null,"fields":null}</x:v>
      </x:c>
    </x:row>
    <x:row r="52" ht="132" customHeight="1">
      <x:c r="A52" s="7" t="str">
        <x:v>v2-schedule-zh-18</x:v>
      </x:c>
      <x:c r="B52" s="7" t="str">
        <x:v>schedule</x:v>
      </x:c>
      <x:c r="C52" s="7" t="str">
        <x:v>安排明天25:15的天文馆演出。</x:v>
      </x:c>
      <x:c r="D52" s="7" t="str">
        <x:v>draft</x:v>
      </x:c>
      <x:c r="E52" s="7" t="str">
        <x:v>schedule</x:v>
      </x:c>
      <x:c r="F52" s="7" t="str">
        <x:v>draft</x:v>
      </x:c>
      <x:c r="G52" s="7" t="str">
        <x:v>schedule</x:v>
      </x:c>
      <x:c r="H52" s="8" t="n">
        <x:v>1</x:v>
      </x:c>
      <x:c r="I52" s="8" t="n">
        <x:v>2</x:v>
      </x:c>
      <x:c r="J52" s="8" t="n">
        <x:v>2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{"status":"draft","module":"schedule","title":{"containsAny":["天文馆"]},"date":"2026-10-03","time":null}</x:v>
      </x:c>
      <x:c r="P52" s="7" t="str">
        <x:v>{"id":"10218cf3-fe5f-41c9-81a0-1c1f4ee2a5a6","title":"天文馆演出","notes":"","date":"2026-10-03","time":null,"amount":null,"kind":null,"category":null,"account":null,"timezone":"Asia/Shanghai"}</x:v>
      </x:c>
    </x:row>
    <x:row r="53" ht="132" customHeight="1">
      <x:c r="A53" s="7" t="str">
        <x:v>v2-memo-zh-13</x:v>
      </x:c>
      <x:c r="B53" s="7" t="str">
        <x:v>memo</x:v>
      </x:c>
      <x:c r="C53" s="7" t="str">
        <x:v>添加任务，明天或者下周一更新展览标签。</x:v>
      </x:c>
      <x:c r="D53" s="7" t="str">
        <x:v>draft</x:v>
      </x:c>
      <x:c r="E53" s="7" t="str">
        <x:v>memo</x:v>
      </x:c>
      <x:c r="F53" s="7" t="str">
        <x:v>draft</x:v>
      </x:c>
      <x:c r="G53" s="7" t="str">
        <x:v>memo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{"status":"draft","module":"memo","title":{"containsAny":["展览","标签"]},"date":null,"priority":null}</x:v>
      </x:c>
      <x:c r="P53" s="7" t="str">
        <x:v>{"id":"6ba0e168-e0e9-4486-9dd6-af0fe4f503c9","title":"更新展览标签","notes":"","dueDate":null,"timezone":"Asia/Shanghai","priority":null,"dateText":"添加任务，明天或者下周一更新展览标签。","warnings":["date_needs_review","priority_missing"]}</x:v>
      </x:c>
    </x:row>
    <x:row r="54" ht="132" customHeight="1">
      <x:c r="A54" s="7" t="str">
        <x:v>v2-health-zh-21</x:v>
      </x:c>
      <x:c r="B54" s="7" t="str">
        <x:v>health</x:v>
      </x:c>
      <x:c r="C54" s="7" t="str">
        <x:v>显示上个月应用使用总时长。</x:v>
      </x:c>
      <x:c r="D54" s="7" t="str">
        <x:v>clarification</x:v>
      </x:c>
      <x:c r="E54" s="7" t="str"/>
      <x:c r="F54" s="7" t="str">
        <x:v>clarification</x:v>
      </x:c>
      <x:c r="G54" s="7" t="str"/>
      <x:c r="H54" s="8" t="n">
        <x:v>1</x:v>
      </x:c>
      <x:c r="I54" s="8" t="n">
        <x:v>0</x:v>
      </x:c>
      <x:c r="J54" s="8" t="n">
        <x:v>0</x:v>
      </x:c>
      <x:c r="K54" s="8" t="n">
        <x:v>1</x:v>
      </x:c>
      <x:c r="L54" s="8" t="n">
        <x:v>0</x:v>
      </x:c>
      <x:c r="M54" s="8" t="n">
        <x:v>0</x:v>
      </x:c>
      <x:c r="N54" s="7" t="str"/>
      <x:c r="O54" s="7" t="str">
        <x:v>{"status":"clarification","module":null}</x:v>
      </x:c>
      <x:c r="P54" s="7" t="str">
        <x:v>{"status":"clarification","reason":"health_today_only","module":null,"draft":null,"fields":null}</x:v>
      </x:c>
    </x:row>
    <x:row r="55" ht="132" customHeight="1">
      <x:c r="A55" s="7" t="str">
        <x:v>v2-schedule-zh-11</x:v>
      </x:c>
      <x:c r="B55" s="7" t="str">
        <x:v>schedule</x:v>
      </x:c>
      <x:c r="C55" s="7" t="str">
        <x:v>安排摄影聚会，日期和时间待定。</x:v>
      </x:c>
      <x:c r="D55" s="7" t="str">
        <x:v>draft</x:v>
      </x:c>
      <x:c r="E55" s="7" t="str">
        <x:v>schedule</x:v>
      </x:c>
      <x:c r="F55" s="7" t="str">
        <x:v>draft</x:v>
      </x:c>
      <x:c r="G55" s="7" t="str">
        <x:v>schedule</x:v>
      </x:c>
      <x:c r="H55" s="8" t="n">
        <x:v>1</x:v>
      </x:c>
      <x:c r="I55" s="8" t="n">
        <x:v>2</x:v>
      </x:c>
      <x:c r="J55" s="8" t="n">
        <x:v>2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{"status":"draft","module":"schedule","title":{"containsAny":["摄影"]},"date":null,"time":null}</x:v>
      </x:c>
      <x:c r="P55" s="7" t="str">
        <x:v>{"id":"aa95d1ab-1df3-4654-90b1-868d7136210f","title":"摄影聚会","notes":"","date":null,"time":null,"amount":null,"kind":null,"category":null,"account":null,"timezone":"Asia/Shanghai"}</x:v>
      </x:c>
    </x:row>
    <x:row r="56" ht="132" customHeight="1">
      <x:c r="A56" s="7" t="str">
        <x:v>v2-schedule-zh-15</x:v>
      </x:c>
      <x:c r="B56" s="7" t="str">
        <x:v>schedule</x:v>
      </x:c>
      <x:c r="C56" s="7" t="str">
        <x:v>安排这周六或者下周二的划船课。</x:v>
      </x:c>
      <x:c r="D56" s="7" t="str">
        <x:v>draft</x:v>
      </x:c>
      <x:c r="E56" s="7" t="str">
        <x:v>schedule</x:v>
      </x:c>
      <x:c r="F56" s="7" t="str">
        <x:v>draft</x:v>
      </x:c>
      <x:c r="G56" s="7" t="str">
        <x:v>schedule</x:v>
      </x:c>
      <x:c r="H56" s="8" t="n">
        <x:v>1</x:v>
      </x:c>
      <x:c r="I56" s="8" t="n">
        <x:v>2</x:v>
      </x:c>
      <x:c r="J56" s="8" t="n">
        <x:v>2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{"status":"draft","module":"schedule","title":{"containsAny":["划船"]},"date":null,"time":null}</x:v>
      </x:c>
      <x:c r="P56" s="7" t="str">
        <x:v>{"id":"15e92620-87d6-4a4c-9adc-9637ed41962a","title":"划船课","notes":"安排周六或者下周二的划船课","date":null,"time":null,"amount":null,"kind":null,"category":null,"account":null,"timezone":"Asia/Shanghai"}</x:v>
      </x:c>
    </x:row>
    <x:row r="57" ht="132" customHeight="1">
      <x:c r="A57" s="7" t="str">
        <x:v>v2-finance-zh-15</x:v>
      </x:c>
      <x:c r="B57" s="7" t="str">
        <x:v>finance</x:v>
      </x:c>
      <x:c r="C57" s="7" t="str">
        <x:v>记录今天现金公交车费0元。</x:v>
      </x:c>
      <x:c r="D57" s="7" t="str">
        <x:v>draft</x:v>
      </x:c>
      <x:c r="E57" s="7" t="str">
        <x:v>finance</x:v>
      </x:c>
      <x:c r="F57" s="7" t="str">
        <x:v>draft</x:v>
      </x:c>
      <x:c r="G57" s="7" t="str">
        <x:v>finance</x:v>
      </x:c>
      <x:c r="H57" s="8" t="n">
        <x:v>1</x:v>
      </x:c>
      <x:c r="I57" s="8" t="n">
        <x:v>6</x:v>
      </x:c>
      <x:c r="J57" s="8" t="n">
        <x:v>6</x:v>
      </x:c>
      <x:c r="K57" s="8" t="n">
        <x:v>1</x:v>
      </x:c>
      <x:c r="L57" s="8" t="n">
        <x:v>1</x:v>
      </x:c>
      <x:c r="M57" s="8" t="n">
        <x:v>1</x:v>
      </x:c>
      <x:c r="N57" s="7" t="str"/>
      <x:c r="O57" s="7" t="str">
        <x:v>{"status":"draft","module":"finance","title":{"containsAny":["公交","车费"]},"amount":null,"account":"Cash","kind":"expense","date":"2026-10-02","category":"Transport"}</x:v>
      </x:c>
      <x:c r="P57" s="7" t="str">
        <x:v>{"id":"69785c9b-0731-456c-bf3c-bfef244acb21","title":"记录现金公交车费","notes":"","date":"2026-10-02","time":null,"amount":null,"kind":"expense","category":"Transport","account":"Cash","timezone":"Asia/Shanghai"}</x:v>
      </x:c>
    </x:row>
    <x:row r="58" ht="132" customHeight="1">
      <x:c r="A58" s="7" t="str">
        <x:v>v2-schedule-zh-22</x:v>
      </x:c>
      <x:c r="B58" s="7" t="str">
        <x:v>schedule</x:v>
      </x:c>
      <x:c r="C58" s="7" t="str">
        <x:v>安排下周五09:45的运动健康讲座。</x:v>
      </x:c>
      <x:c r="D58" s="7" t="str">
        <x:v>draft</x:v>
      </x:c>
      <x:c r="E58" s="7" t="str">
        <x:v>schedule</x:v>
      </x:c>
      <x:c r="F58" s="7" t="str">
        <x:v>draft</x:v>
      </x:c>
      <x:c r="G58" s="7" t="str">
        <x:v>schedule</x:v>
      </x:c>
      <x:c r="H58" s="8" t="n">
        <x:v>1</x:v>
      </x:c>
      <x:c r="I58" s="8" t="n">
        <x:v>2</x:v>
      </x:c>
      <x:c r="J58" s="8" t="n">
        <x:v>2</x:v>
      </x:c>
      <x:c r="K58" s="8" t="n">
        <x:v>1</x:v>
      </x:c>
      <x:c r="L58" s="8" t="n">
        <x:v>1</x:v>
      </x:c>
      <x:c r="M58" s="8" t="n">
        <x:v>1</x:v>
      </x:c>
      <x:c r="N58" s="7" t="str"/>
      <x:c r="O58" s="7" t="str">
        <x:v>{"status":"draft","module":"schedule","title":{"containsAny":["健康","讲座"]},"date":"2026-10-09","time":"09:45"}</x:v>
      </x:c>
      <x:c r="P58" s="7" t="str">
        <x:v>{"id":"c56365aa-0930-46f8-87fa-4dc78599f4ee","title":"运动健康讲座","notes":"","date":"2026-10-09","time":"09:45","amount":null,"kind":null,"category":null,"account":null,"timezone":"Asia/Shanghai"}</x:v>
      </x:c>
    </x:row>
    <x:row r="59" ht="132" customHeight="1">
      <x:c r="A59" s="7" t="str">
        <x:v>v2-memo-zh-27</x:v>
      </x:c>
      <x:c r="B59" s="7" t="str">
        <x:v>memo</x:v>
      </x:c>
      <x:c r="C59" s="7" t="str">
        <x:v>添加待办，今天收好望远镜。</x:v>
      </x:c>
      <x:c r="D59" s="7" t="str">
        <x:v>draft</x:v>
      </x:c>
      <x:c r="E59" s="7" t="str">
        <x:v>memo</x:v>
      </x:c>
      <x:c r="F59" s="7" t="str">
        <x:v>draft</x:v>
      </x:c>
      <x:c r="G59" s="7" t="str">
        <x:v>memo</x:v>
      </x:c>
      <x:c r="H59" s="8" t="n">
        <x:v>1</x:v>
      </x:c>
      <x:c r="I59" s="8" t="n">
        <x:v>2</x:v>
      </x:c>
      <x:c r="J59" s="8" t="n">
        <x:v>2</x:v>
      </x:c>
      <x:c r="K59" s="8" t="n">
        <x:v>1</x:v>
      </x:c>
      <x:c r="L59" s="8" t="n">
        <x:v>1</x:v>
      </x:c>
      <x:c r="M59" s="8" t="n">
        <x:v>1</x:v>
      </x:c>
      <x:c r="N59" s="7" t="str"/>
      <x:c r="O59" s="7" t="str">
        <x:v>{"status":"draft","module":"memo","title":{"containsAny":["望远镜"]},"date":"2026-10-03","priority":null}</x:v>
      </x:c>
      <x:c r="P59" s="7" t="str">
        <x:v>{"id":"b70bbb7b-8531-4feb-9d6a-c5010a2f0d12","title":"收好望远镜","notes":"今天","dueDate":"2026-10-03","timezone":"Asia/Shanghai","priority":null,"dateText":"今天","warnings":["priority_missing"]}</x:v>
      </x:c>
    </x:row>
    <x:row r="60" ht="132" customHeight="1">
      <x:c r="A60" s="7" t="str">
        <x:v>v2-schedule-zh-19</x:v>
      </x:c>
      <x:c r="B60" s="7" t="str">
        <x:v>schedule</x:v>
      </x:c>
      <x:c r="C60" s="7" t="str">
        <x:v>添加明天凌晨00:00的电台采访。</x:v>
      </x:c>
      <x:c r="D60" s="7" t="str">
        <x:v>draft</x:v>
      </x:c>
      <x:c r="E60" s="7" t="str">
        <x:v>schedule</x:v>
      </x:c>
      <x:c r="F60" s="7" t="str">
        <x:v>draft</x:v>
      </x:c>
      <x:c r="G60" s="7" t="str">
        <x:v>schedule</x:v>
      </x:c>
      <x:c r="H60" s="8" t="n">
        <x:v>1</x:v>
      </x:c>
      <x:c r="I60" s="8" t="n">
        <x:v>2</x:v>
      </x:c>
      <x:c r="J60" s="8" t="n">
        <x:v>2</x:v>
      </x:c>
      <x:c r="K60" s="8" t="n">
        <x:v>1</x:v>
      </x:c>
      <x:c r="L60" s="8" t="n">
        <x:v>1</x:v>
      </x:c>
      <x:c r="M60" s="8" t="n">
        <x:v>1</x:v>
      </x:c>
      <x:c r="N60" s="7" t="str"/>
      <x:c r="O60" s="7" t="str">
        <x:v>{"status":"draft","module":"schedule","title":{"containsAny":["电台","采访"]},"date":"2026-10-03","time":"00:00"}</x:v>
      </x:c>
      <x:c r="P60" s="7" t="str">
        <x:v>{"id":"70d4e3f2-3d5f-4640-9765-0e18e81c30ac","title":"电台采访","notes":"明天凌晨00:00","date":"2026-10-03","time":"00:00","amount":null,"kind":null,"category":null,"account":null,"timezone":"Asia/Shanghai"}</x:v>
      </x:c>
    </x:row>
    <x:row r="61" ht="132" customHeight="1">
      <x:c r="A61" s="7" t="str">
        <x:v>v2-memo-zh-17</x:v>
      </x:c>
      <x:c r="B61" s="7" t="str">
        <x:v>memo</x:v>
      </x:c>
      <x:c r="C61" s="7" t="str">
        <x:v>新增待办，这周五更新实验室通行证。</x:v>
      </x:c>
      <x:c r="D61" s="7" t="str">
        <x:v>draft</x:v>
      </x:c>
      <x:c r="E61" s="7" t="str">
        <x:v>memo</x:v>
      </x:c>
      <x:c r="F61" s="7" t="str">
        <x:v>draft</x:v>
      </x:c>
      <x:c r="G61" s="7" t="str">
        <x:v>memo</x:v>
      </x:c>
      <x:c r="H61" s="8" t="n">
        <x:v>1</x:v>
      </x:c>
      <x:c r="I61" s="8" t="n">
        <x:v>2</x:v>
      </x:c>
      <x:c r="J61" s="8" t="n">
        <x:v>2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{"status":"draft","module":"memo","title":{"containsAny":["实验室","通行证"]},"date":"2026-10-02","priority":null}</x:v>
      </x:c>
      <x:c r="P61" s="7" t="str">
        <x:v>{"id":"cee134bc-0eba-4dff-8d2e-eca7d591bd2d","title":"更新实验室通行证","notes":"这周五","dueDate":"2026-10-02","timezone":"Asia/Shanghai","priority":null,"dateText":"这周五","warnings":["priority_missing"]}</x:v>
      </x:c>
    </x:row>
    <x:row r="62" ht="132" customHeight="1">
      <x:c r="A62" s="7" t="str">
        <x:v>v2-health-zh-22</x:v>
      </x:c>
      <x:c r="B62" s="7" t="str">
        <x:v>health</x:v>
      </x:c>
      <x:c r="C62" s="7" t="str">
        <x:v>在健康模块记录昨晚睡了7小时。</x:v>
      </x:c>
      <x:c r="D62" s="7" t="str">
        <x:v>clarification</x:v>
      </x:c>
      <x:c r="E62" s="7" t="str"/>
      <x:c r="F62" s="7" t="str">
        <x:v>clarification</x:v>
      </x:c>
      <x:c r="G62" s="7" t="str"/>
      <x:c r="H62" s="8" t="n">
        <x:v>1</x:v>
      </x:c>
      <x:c r="I62" s="8" t="n">
        <x:v>0</x:v>
      </x:c>
      <x:c r="J62" s="8" t="n">
        <x:v>0</x:v>
      </x:c>
      <x:c r="K62" s="8" t="n">
        <x:v>1</x:v>
      </x:c>
      <x:c r="L62" s="8" t="n">
        <x:v>0</x:v>
      </x:c>
      <x:c r="M62" s="8" t="n">
        <x:v>0</x:v>
      </x:c>
      <x:c r="N62" s="7" t="str"/>
      <x:c r="O62" s="7" t="str">
        <x:v>{"status":"clarification","module":null}</x:v>
      </x:c>
      <x:c r="P62" s="7" t="str">
        <x:v>{"status":"clarification","reason":"health_unsupported","module":null,"draft":null,"fields":null}</x:v>
      </x:c>
    </x:row>
    <x:row r="63" ht="132" customHeight="1">
      <x:c r="A63" s="7" t="str">
        <x:v>v2-finance-zh-27</x:v>
      </x:c>
      <x:c r="B63" s="7" t="str">
        <x:v>finance</x:v>
      </x:c>
      <x:c r="C63" s="7" t="str">
        <x:v>记录今天甜点花费9欧元。</x:v>
      </x:c>
      <x:c r="D63" s="7" t="str">
        <x:v>clarification</x:v>
      </x:c>
      <x:c r="E63" s="7" t="str"/>
      <x:c r="F63" s="7" t="str">
        <x:v>clarification</x:v>
      </x:c>
      <x:c r="G63" s="7" t="str"/>
      <x:c r="H63" s="8" t="n">
        <x:v>1</x:v>
      </x:c>
      <x:c r="I63" s="8" t="n">
        <x:v>0</x:v>
      </x:c>
      <x:c r="J63" s="8" t="n">
        <x:v>0</x:v>
      </x:c>
      <x:c r="K63" s="8" t="n">
        <x:v>1</x:v>
      </x:c>
      <x:c r="L63" s="8" t="n">
        <x:v>0</x:v>
      </x:c>
      <x:c r="M63" s="8" t="n">
        <x:v>0</x:v>
      </x:c>
      <x:c r="N63" s="7" t="str"/>
      <x:c r="O63" s="7" t="str">
        <x:v>{"status":"clarification","module":null}</x:v>
      </x:c>
      <x:c r="P63" s="7" t="str">
        <x:v>{"status":"clarification","reason":"unsupported_currency","module":null,"draft":null,"fields":null}</x:v>
      </x:c>
    </x:row>
    <x:row r="64" ht="132" customHeight="1">
      <x:c r="A64" s="7" t="str">
        <x:v>v2-health-zh-09</x:v>
      </x:c>
      <x:c r="B64" s="7" t="str">
        <x:v>health</x:v>
      </x:c>
      <x:c r="C64" s="7" t="str">
        <x:v>打开健康模块。</x:v>
      </x:c>
      <x:c r="D64" s="7" t="str">
        <x:v>draft</x:v>
      </x:c>
      <x:c r="E64" s="7" t="str">
        <x:v>health</x:v>
      </x:c>
      <x:c r="F64" s="7" t="str">
        <x:v>draft</x:v>
      </x:c>
      <x:c r="G64" s="7" t="str">
        <x:v>health</x:v>
      </x:c>
      <x:c r="H64" s="8" t="n">
        <x:v>1</x:v>
      </x:c>
      <x:c r="I64" s="8" t="n">
        <x:v>0</x:v>
      </x:c>
      <x:c r="J64" s="8" t="n">
        <x:v>0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{"status":"draft","module":"health"}</x:v>
      </x:c>
      <x:c r="P64" s="7" t="str">
        <x:v>{"id":"f11d6b31-382e-4a6a-8da7-560ae49a1096","title":"查看手机使用情况","notes":"","date":null,"time":null,"amount":null,"kind":null,"category":null,"account":null,"timezone":"Asia/Shanghai"}</x:v>
      </x:c>
    </x:row>
    <x:row r="65" ht="132" customHeight="1">
      <x:c r="A65" s="7" t="str">
        <x:v>v2-memo-zh-26</x:v>
      </x:c>
      <x:c r="B65" s="7" t="str">
        <x:v>memo</x:v>
      </x:c>
      <x:c r="C65" s="7" t="str">
        <x:v>添加任务明天拍摄雕塑，不指定优先级。</x:v>
      </x:c>
      <x:c r="D65" s="7" t="str">
        <x:v>draft</x:v>
      </x:c>
      <x:c r="E65" s="7" t="str">
        <x:v>memo</x:v>
      </x:c>
      <x:c r="F65" s="7" t="str">
        <x:v>draft</x:v>
      </x:c>
      <x:c r="G65" s="7" t="str">
        <x:v>memo</x:v>
      </x:c>
      <x:c r="H65" s="8" t="n">
        <x:v>1</x:v>
      </x:c>
      <x:c r="I65" s="8" t="n">
        <x:v>2</x:v>
      </x:c>
      <x:c r="J65" s="8" t="n">
        <x:v>2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{"status":"draft","module":"memo","title":{"containsAny":["雕塑"]},"date":"2026-10-03","priority":null}</x:v>
      </x:c>
      <x:c r="P65" s="7" t="str">
        <x:v>{"id":"7937cbca-f677-4385-b234-ed7f7f337eca","title":"拍摄雕塑","notes":"","dueDate":"2026-10-03","timezone":"Asia/Shanghai","priority":null,"dateText":"明天","warnings":["priority_missing"]}</x:v>
      </x:c>
    </x:row>
    <x:row r="66" ht="132" customHeight="1">
      <x:c r="A66" s="7" t="str">
        <x:v>v2-finance-zh-12</x:v>
      </x:c>
      <x:c r="B66" s="7" t="str">
        <x:v>finance</x:v>
      </x:c>
      <x:c r="C66" s="7" t="str">
        <x:v>记录今天披萨支出，微信支付，金额忘了。</x:v>
      </x:c>
      <x:c r="D66" s="7" t="str">
        <x:v>draft</x:v>
      </x:c>
      <x:c r="E66" s="7" t="str">
        <x:v>finance</x:v>
      </x:c>
      <x:c r="F66" s="7" t="str">
        <x:v>draft</x:v>
      </x:c>
      <x:c r="G66" s="7" t="str">
        <x:v>finance</x:v>
      </x:c>
      <x:c r="H66" s="8" t="n">
        <x:v>1</x:v>
      </x:c>
      <x:c r="I66" s="8" t="n">
        <x:v>6</x:v>
      </x:c>
      <x:c r="J66" s="8" t="n">
        <x:v>6</x:v>
      </x:c>
      <x:c r="K66" s="8" t="n">
        <x:v>1</x:v>
      </x:c>
      <x:c r="L66" s="8" t="n">
        <x:v>1</x:v>
      </x:c>
      <x:c r="M66" s="8" t="n">
        <x:v>1</x:v>
      </x:c>
      <x:c r="N66" s="7" t="str"/>
      <x:c r="O66" s="7" t="str">
        <x:v>{"status":"draft","module":"finance","title":{"containsAny":["披萨"]},"amount":null,"account":"WeChat","kind":"expense","date":"2026-10-02","category":"Food &amp; Drinks"}</x:v>
      </x:c>
      <x:c r="P66" s="7" t="str">
        <x:v>{"id":"4af314d8-f30a-419c-add5-37d7cd06b49d","title":"披萨支出","notes":"","date":"2026-10-02","time":null,"amount":null,"kind":"expense","category":"Food &amp; Drinks","account":"WeChat","timezone":"Asia/Shanghai"}</x:v>
      </x:c>
    </x:row>
    <x:row r="67" ht="132" customHeight="1">
      <x:c r="A67" s="7" t="str">
        <x:v>v2-memo-zh-22</x:v>
      </x:c>
      <x:c r="B67" s="7" t="str">
        <x:v>memo</x:v>
      </x:c>
      <x:c r="C67" s="7" t="str">
        <x:v>记个待办：购买显示器前先准备预算估算。</x:v>
      </x:c>
      <x:c r="D67" s="7" t="str">
        <x:v>draft</x:v>
      </x:c>
      <x:c r="E67" s="7" t="str">
        <x:v>memo</x:v>
      </x:c>
      <x:c r="F67" s="7" t="str">
        <x:v>draft</x:v>
      </x:c>
      <x:c r="G67" s="7" t="str">
        <x:v>memo</x:v>
      </x:c>
      <x:c r="H67" s="8" t="n">
        <x:v>1</x:v>
      </x:c>
      <x:c r="I67" s="8" t="n">
        <x:v>2</x:v>
      </x:c>
      <x:c r="J67" s="8" t="n">
        <x:v>2</x:v>
      </x:c>
      <x:c r="K67" s="8" t="n">
        <x:v>1</x:v>
      </x:c>
      <x:c r="L67" s="8" t="n">
        <x:v>1</x:v>
      </x:c>
      <x:c r="M67" s="8" t="n">
        <x:v>1</x:v>
      </x:c>
      <x:c r="N67" s="7" t="str"/>
      <x:c r="O67" s="7" t="str">
        <x:v>{"status":"draft","module":"memo","title":{"containsAny":["预算","显示器"]},"date":null,"priority":null}</x:v>
      </x:c>
      <x:c r="P67" s="7" t="str">
        <x:v>{"id":"b5b378ac-cb72-424c-b69f-772f078016cc","title":"购买显示器前先准备预算估算","notes":"","dueDate":null,"timezone":"Asia/Shanghai","priority":null,"dateText":null,"warnings":["date_missing","priority_missing"]}</x:v>
      </x:c>
    </x:row>
    <x:row r="68" ht="132" customHeight="1">
      <x:c r="A68" s="7" t="str">
        <x:v>v2-finance-zh-24</x:v>
      </x:c>
      <x:c r="B68" s="7" t="str">
        <x:v>finance</x:v>
      </x:c>
      <x:c r="C68" s="7" t="str">
        <x:v>记一笔今天茶和笔记本合计64元的支出，现金支付。</x:v>
      </x:c>
      <x:c r="D68" s="7" t="str">
        <x:v>draft</x:v>
      </x:c>
      <x:c r="E68" s="7" t="str">
        <x:v>finance</x:v>
      </x:c>
      <x:c r="F68" s="7" t="str">
        <x:v>draft</x:v>
      </x:c>
      <x:c r="G68" s="7" t="str">
        <x:v>finance</x:v>
      </x:c>
      <x:c r="H68" s="8" t="n">
        <x:v>1</x:v>
      </x:c>
      <x:c r="I68" s="8" t="n">
        <x:v>5</x:v>
      </x:c>
      <x:c r="J68" s="8" t="n">
        <x:v>5</x:v>
      </x:c>
      <x:c r="K68" s="8" t="n">
        <x:v>1</x:v>
      </x:c>
      <x:c r="L68" s="8" t="n">
        <x:v>1</x:v>
      </x:c>
      <x:c r="M68" s="8" t="n">
        <x:v>1</x:v>
      </x:c>
      <x:c r="N68" s="7" t="str"/>
      <x:c r="O68" s="7" t="str">
        <x:v>{"status":"draft","module":"finance","title":{"containsAny":["茶","笔记本"]},"amount":"64","account":"Cash","kind":"expense","date":"2026-10-02"}</x:v>
      </x:c>
      <x:c r="P68" s="7" t="str">
        <x:v>{"id":"d9e09265-0bf2-44c1-9d05-e9955fa5a324","title":"今天茶和笔记本合计64元的支出，现金支付。","notes":"茶和笔记本合计64元","date":"2026-10-02","time":null,"amount":"64","kind":"expense","category":"Shopping","account":"Cash","timezone":"Asia/Shanghai"}</x:v>
      </x:c>
    </x:row>
    <x:row r="69" ht="132" customHeight="1">
      <x:c r="A69" s="7" t="str">
        <x:v>v2-schedule-zh-08</x:v>
      </x:c>
      <x:c r="B69" s="7" t="str">
        <x:v>schedule</x:v>
      </x:c>
      <x:c r="C69" s="7" t="str">
        <x:v>我这周四有实验课，添加到日历。</x:v>
      </x:c>
      <x:c r="D69" s="7" t="str">
        <x:v>draft</x:v>
      </x:c>
      <x:c r="E69" s="7" t="str">
        <x:v>schedule</x:v>
      </x:c>
      <x:c r="F69" s="7" t="str">
        <x:v>draft</x:v>
      </x:c>
      <x:c r="G69" s="7" t="str">
        <x:v>schedule</x:v>
      </x:c>
      <x:c r="H69" s="8" t="n">
        <x:v>1</x:v>
      </x:c>
      <x:c r="I69" s="8" t="n">
        <x:v>2</x:v>
      </x:c>
      <x:c r="J69" s="8" t="n">
        <x:v>2</x:v>
      </x:c>
      <x:c r="K69" s="8" t="n">
        <x:v>1</x:v>
      </x:c>
      <x:c r="L69" s="8" t="n">
        <x:v>1</x:v>
      </x:c>
      <x:c r="M69" s="8" t="n">
        <x:v>1</x:v>
      </x:c>
      <x:c r="N69" s="7" t="str"/>
      <x:c r="O69" s="7" t="str">
        <x:v>{"status":"draft","module":"schedule","title":{"containsAny":["实验课"]},"date":"2026-10-01","time":null}</x:v>
      </x:c>
      <x:c r="P69" s="7" t="str">
        <x:v>{"id":"e14e7d09-2940-450e-b09d-db662f53c6ea","title":"实验课","notes":"","date":"2026-10-01","time":null,"amount":null,"kind":null,"category":null,"account":null,"timezone":"Asia/Shanghai"}</x:v>
      </x:c>
    </x:row>
    <x:row r="70" ht="132" customHeight="1">
      <x:c r="A70" s="7" t="str">
        <x:v>v2-schedule-zh-07</x:v>
      </x:c>
      <x:c r="B70" s="7" t="str">
        <x:v>schedule</x:v>
      </x:c>
      <x:c r="C70" s="7" t="str">
        <x:v>日历添加今天18:10的国际象棋社聚会。</x:v>
      </x:c>
      <x:c r="D70" s="7" t="str">
        <x:v>draft</x:v>
      </x:c>
      <x:c r="E70" s="7" t="str">
        <x:v>schedule</x:v>
      </x:c>
      <x:c r="F70" s="7" t="str">
        <x:v>draft</x:v>
      </x:c>
      <x:c r="G70" s="7" t="str">
        <x:v>schedule</x:v>
      </x:c>
      <x:c r="H70" s="8" t="n">
        <x:v>1</x:v>
      </x:c>
      <x:c r="I70" s="8" t="n">
        <x:v>2</x:v>
      </x:c>
      <x:c r="J70" s="8" t="n">
        <x:v>2</x:v>
      </x:c>
      <x:c r="K70" s="8" t="n">
        <x:v>1</x:v>
      </x:c>
      <x:c r="L70" s="8" t="n">
        <x:v>1</x:v>
      </x:c>
      <x:c r="M70" s="8" t="n">
        <x:v>1</x:v>
      </x:c>
      <x:c r="N70" s="7" t="str"/>
      <x:c r="O70" s="7" t="str">
        <x:v>{"status":"draft","module":"schedule","title":{"containsAny":["象棋"]},"date":"2026-10-02","time":"18:10"}</x:v>
      </x:c>
      <x:c r="P70" s="7" t="str">
        <x:v>{"id":"b31640ed-e297-45a1-9704-62d9bdf60372","title":"国际象棋社聚会","notes":"","date":"2026-10-02","time":"18:10","amount":null,"kind":null,"category":null,"account":null,"timezone":"Asia/Shanghai"}</x:v>
      </x:c>
    </x:row>
    <x:row r="71" ht="132" customHeight="1">
      <x:c r="A71" s="7" t="str">
        <x:v>v2-finance-zh-23</x:v>
      </x:c>
      <x:c r="B71" s="7" t="str">
        <x:v>finance</x:v>
      </x:c>
      <x:c r="C71" s="7" t="str">
        <x:v>记录今天咖啡7元，现金或者微信付的，记不清账户了。</x:v>
      </x:c>
      <x:c r="D71" s="7" t="str">
        <x:v>draft</x:v>
      </x:c>
      <x:c r="E71" s="7" t="str">
        <x:v>finance</x:v>
      </x:c>
      <x:c r="F71" s="7" t="str">
        <x:v>draft</x:v>
      </x:c>
      <x:c r="G71" s="7" t="str">
        <x:v>finance</x:v>
      </x:c>
      <x:c r="H71" s="8" t="n">
        <x:v>1</x:v>
      </x:c>
      <x:c r="I71" s="8" t="n">
        <x:v>6</x:v>
      </x:c>
      <x:c r="J71" s="8" t="n">
        <x:v>6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{"status":"draft","module":"finance","title":{"containsAny":["咖啡"]},"amount":"7","account":null,"kind":"expense","date":"2026-10-02","category":"Food &amp; Drinks"}</x:v>
      </x:c>
      <x:c r="P71" s="7" t="str">
        <x:v>{"id":"ea3a3b95-affe-4c12-8fdc-628f7b54b2a8","title":"咖啡","notes":"","date":"2026-10-02","time":null,"amount":"7","kind":"expense","category":"Food &amp; Drinks","account":null,"timezone":"Asia/Shanghai"}</x:v>
      </x:c>
    </x:row>
    <x:row r="72" ht="132" customHeight="1">
      <x:c r="A72" s="7" t="str">
        <x:v>v2-health-zh-26</x:v>
      </x:c>
      <x:c r="B72" s="7" t="str">
        <x:v>health</x:v>
      </x:c>
      <x:c r="C72" s="7" t="str">
        <x:v>在健康模块记录体重63公斤。</x:v>
      </x:c>
      <x:c r="D72" s="7" t="str">
        <x:v>clarification</x:v>
      </x:c>
      <x:c r="E72" s="7" t="str"/>
      <x:c r="F72" s="7" t="str">
        <x:v>clarification</x:v>
      </x:c>
      <x:c r="G72" s="7" t="str"/>
      <x:c r="H72" s="8" t="n">
        <x:v>1</x:v>
      </x:c>
      <x:c r="I72" s="8" t="n">
        <x:v>0</x:v>
      </x:c>
      <x:c r="J72" s="8" t="n">
        <x:v>0</x:v>
      </x:c>
      <x:c r="K72" s="8" t="n">
        <x:v>1</x:v>
      </x:c>
      <x:c r="L72" s="8" t="n">
        <x:v>0</x:v>
      </x:c>
      <x:c r="M72" s="8" t="n">
        <x:v>0</x:v>
      </x:c>
      <x:c r="N72" s="7" t="str"/>
      <x:c r="O72" s="7" t="str">
        <x:v>{"status":"clarification","module":null}</x:v>
      </x:c>
      <x:c r="P72" s="7" t="str">
        <x:v>{"status":"clarification","reason":"health_unsupported","module":null,"draft":null,"fields":null}</x:v>
      </x:c>
    </x:row>
    <x:row r="73" ht="132" customHeight="1">
      <x:c r="A73" s="7" t="str">
        <x:v>v2-memo-zh-12</x:v>
      </x:c>
      <x:c r="B73" s="7" t="str">
        <x:v>memo</x:v>
      </x:c>
      <x:c r="C73" s="7" t="str">
        <x:v>也许明天重写基金申请摘要，添加待办草稿。</x:v>
      </x:c>
      <x:c r="D73" s="7" t="str">
        <x:v>draft</x:v>
      </x:c>
      <x:c r="E73" s="7" t="str">
        <x:v>memo</x:v>
      </x:c>
      <x:c r="F73" s="7" t="str">
        <x:v>draft</x:v>
      </x:c>
      <x:c r="G73" s="7" t="str">
        <x:v>memo</x:v>
      </x:c>
      <x:c r="H73" s="8" t="n">
        <x:v>1</x:v>
      </x:c>
      <x:c r="I73" s="8" t="n">
        <x:v>2</x:v>
      </x:c>
      <x:c r="J73" s="8" t="n">
        <x:v>2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{"status":"draft","module":"memo","title":{"containsAny":["基金","摘要"]},"date":null,"priority":null}</x:v>
      </x:c>
      <x:c r="P73" s="7" t="str">
        <x:v>{"id":"ccb05331-d3c4-4876-8776-d61c9701f743","title":"基金申请摘要","notes":"添加待办草稿","dueDate":null,"timezone":"Asia/Shanghai","priority":null,"dateText":"也许明天重写基金申请摘要，添加待办草稿。","warnings":["date_needs_review","priority_missing"]}</x:v>
      </x:c>
    </x:row>
    <x:row r="74" ht="132" customHeight="1">
      <x:c r="A74" s="7" t="str">
        <x:v>v2-finance-zh-01</x:v>
      </x:c>
      <x:c r="B74" s="7" t="str">
        <x:v>finance</x:v>
      </x:c>
      <x:c r="C74" s="7" t="str">
        <x:v>记账：今天三明治花费42.75元，支付宝支付。</x:v>
      </x:c>
      <x:c r="D74" s="7" t="str">
        <x:v>draft</x:v>
      </x:c>
      <x:c r="E74" s="7" t="str">
        <x:v>finance</x:v>
      </x:c>
      <x:c r="F74" s="7" t="str">
        <x:v>draft</x:v>
      </x:c>
      <x:c r="G74" s="7" t="str">
        <x:v>finance</x:v>
      </x:c>
      <x:c r="H74" s="8" t="n">
        <x:v>1</x:v>
      </x:c>
      <x:c r="I74" s="8" t="n">
        <x:v>6</x:v>
      </x:c>
      <x:c r="J74" s="8" t="n">
        <x:v>6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{"status":"draft","module":"finance","title":{"containsAny":["三明治"]},"amount":"42.75","account":"Alipay","kind":"expense","date":"2026-10-02","category":"Food &amp; Drinks"}</x:v>
      </x:c>
      <x:c r="P74" s="7" t="str">
        <x:v>{"id":"9b7f44c9-fb6e-4447-b46b-156d50d0f469","title":"三明治","notes":"","date":"2026-10-02","time":null,"amount":"42.75","kind":"expense","category":"Food &amp; Drinks","account":"Alipay","timezone":"Asia/Shanghai"}</x:v>
      </x:c>
    </x:row>
    <x:row r="75" ht="132" customHeight="1">
      <x:c r="A75" s="7" t="str">
        <x:v>v2-health-zh-30</x:v>
      </x:c>
      <x:c r="B75" s="7" t="str">
        <x:v>health</x:v>
      </x:c>
      <x:c r="C75" s="7" t="str">
        <x:v>显示今天应用使用情况，并且安排明天游泳课。</x:v>
      </x:c>
      <x:c r="D75" s="7" t="str">
        <x:v>clarification</x:v>
      </x:c>
      <x:c r="E75" s="7" t="str"/>
      <x:c r="F75" s="7" t="str">
        <x:v>clarification</x:v>
      </x:c>
      <x:c r="G75" s="7" t="str"/>
      <x:c r="H75" s="8" t="n">
        <x:v>1</x:v>
      </x:c>
      <x:c r="I75" s="8" t="n">
        <x:v>0</x:v>
      </x:c>
      <x:c r="J75" s="8" t="n">
        <x:v>0</x:v>
      </x:c>
      <x:c r="K75" s="8" t="n">
        <x:v>1</x:v>
      </x:c>
      <x:c r="L75" s="8" t="n">
        <x:v>0</x:v>
      </x:c>
      <x:c r="M75" s="8" t="n">
        <x:v>0</x:v>
      </x:c>
      <x:c r="N75" s="7" t="str"/>
      <x:c r="O75" s="7" t="str">
        <x:v>{"status":"clarification","module":null}</x:v>
      </x:c>
      <x:c r="P75" s="7" t="str">
        <x:v>{"status":"clarification","reason":"multiple_tasks","module":null,"draft":null,"fields":null}</x:v>
      </x:c>
    </x:row>
    <x:row r="76" ht="132" customHeight="1">
      <x:c r="A76" s="7" t="str">
        <x:v>v2-health-zh-15</x:v>
      </x:c>
      <x:c r="B76" s="7" t="str">
        <x:v>health</x:v>
      </x:c>
      <x:c r="C76" s="7" t="str">
        <x:v>显示屏幕使用数据，不创建待办。</x:v>
      </x:c>
      <x:c r="D76" s="7" t="str">
        <x:v>draft</x:v>
      </x:c>
      <x:c r="E76" s="7" t="str">
        <x:v>health</x:v>
      </x:c>
      <x:c r="F76" s="7" t="str">
        <x:v>draft</x:v>
      </x:c>
      <x:c r="G76" s="7" t="str">
        <x:v>health</x:v>
      </x:c>
      <x:c r="H76" s="8" t="n">
        <x:v>1</x:v>
      </x:c>
      <x:c r="I76" s="8" t="n">
        <x:v>0</x:v>
      </x:c>
      <x:c r="J76" s="8" t="n">
        <x:v>0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{"status":"draft","module":"health"}</x:v>
      </x:c>
      <x:c r="P76" s="7" t="str">
        <x:v>{"id":"09d385c7-f251-46b4-9988-4e307609b593","title":"查看手机使用情况","notes":"","date":null,"time":null,"amount":null,"kind":null,"category":null,"account":null,"timezone":"Asia/Shanghai"}</x:v>
      </x:c>
    </x:row>
    <x:row r="77" ht="132" customHeight="1">
      <x:c r="A77" s="7" t="str">
        <x:v>v2-memo-zh-23</x:v>
      </x:c>
      <x:c r="B77" s="7" t="str">
        <x:v>memo</x:v>
      </x:c>
      <x:c r="C77" s="7" t="str">
        <x:v>添加重要待办，导出会议纪要。</x:v>
      </x:c>
      <x:c r="D77" s="7" t="str">
        <x:v>draft</x:v>
      </x:c>
      <x:c r="E77" s="7" t="str">
        <x:v>memo</x:v>
      </x:c>
      <x:c r="F77" s="7" t="str">
        <x:v>draft</x:v>
      </x:c>
      <x:c r="G77" s="7" t="str">
        <x:v>memo</x:v>
      </x:c>
      <x:c r="H77" s="8" t="n">
        <x:v>1</x:v>
      </x:c>
      <x:c r="I77" s="8" t="n">
        <x:v>2</x:v>
      </x:c>
      <x:c r="J77" s="8" t="n">
        <x:v>2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{"status":"draft","module":"memo","title":{"containsAny":["纪要"]},"priority":"important","date":null}</x:v>
      </x:c>
      <x:c r="P77" s="7" t="str">
        <x:v>{"id":"b3427994-f53a-4faa-81e0-73a77a138813","title":"导出会议纪要","notes":"","dueDate":null,"timezone":"Asia/Shanghai","priority":"important","dateText":null,"warnings":["date_missing"]}</x:v>
      </x:c>
    </x:row>
    <x:row r="78" ht="132" customHeight="1">
      <x:c r="A78" s="7" t="str">
        <x:v>v2-schedule-zh-06</x:v>
      </x:c>
      <x:c r="B78" s="7" t="str">
        <x:v>schedule</x:v>
      </x:c>
      <x:c r="C78" s="7" t="str">
        <x:v>创建日程，2天后晚上7点合唱排练。</x:v>
      </x:c>
      <x:c r="D78" s="7" t="str">
        <x:v>draft</x:v>
      </x:c>
      <x:c r="E78" s="7" t="str">
        <x:v>schedule</x:v>
      </x:c>
      <x:c r="F78" s="7" t="str">
        <x:v>draft</x:v>
      </x:c>
      <x:c r="G78" s="7" t="str">
        <x:v>schedule</x:v>
      </x:c>
      <x:c r="H78" s="8" t="n">
        <x:v>1</x:v>
      </x:c>
      <x:c r="I78" s="8" t="n">
        <x:v>2</x:v>
      </x:c>
      <x:c r="J78" s="8" t="n">
        <x:v>2</x:v>
      </x:c>
      <x:c r="K78" s="8" t="n">
        <x:v>1</x:v>
      </x:c>
      <x:c r="L78" s="8" t="n">
        <x:v>1</x:v>
      </x:c>
      <x:c r="M78" s="8" t="n">
        <x:v>1</x:v>
      </x:c>
      <x:c r="N78" s="7" t="str"/>
      <x:c r="O78" s="7" t="str">
        <x:v>{"status":"draft","module":"schedule","title":{"containsAny":["合唱"]},"date":"2026-10-04","time":"19:00"}</x:v>
      </x:c>
      <x:c r="P78" s="7" t="str">
        <x:v>{"id":"c6a7324b-1f83-47b5-bfa2-31feaab7a6d0","title":"合唱排练","notes":"2天后晚上7点","date":"2026-10-04","time":"19:00","amount":null,"kind":null,"category":null,"account":null,"timezone":"Asia/Shanghai"}</x:v>
      </x:c>
    </x:row>
    <x:row r="79" ht="132" customHeight="1">
      <x:c r="A79" s="7" t="str">
        <x:v>v2-schedule-zh-10</x:v>
      </x:c>
      <x:c r="B79" s="7" t="str">
        <x:v>schedule</x:v>
      </x:c>
      <x:c r="C79" s="7" t="str">
        <x:v>日历添加2026年9月20日20:00的爵士音乐会。</x:v>
      </x:c>
      <x:c r="D79" s="7" t="str">
        <x:v>draft</x:v>
      </x:c>
      <x:c r="E79" s="7" t="str">
        <x:v>schedule</x:v>
      </x:c>
      <x:c r="F79" s="7" t="str">
        <x:v>draft</x:v>
      </x:c>
      <x:c r="G79" s="7" t="str">
        <x:v>schedule</x:v>
      </x:c>
      <x:c r="H79" s="8" t="n">
        <x:v>1</x:v>
      </x:c>
      <x:c r="I79" s="8" t="n">
        <x:v>2</x:v>
      </x:c>
      <x:c r="J79" s="8" t="n">
        <x:v>2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{"status":"draft","module":"schedule","title":{"containsAny":["爵士"]},"date":"2026-09-20","time":"20:00"}</x:v>
      </x:c>
      <x:c r="P79" s="7" t="str">
        <x:v>{"id":"d832fa9a-09ef-4506-9388-8869705cfa11","title":"爵士音乐会","notes":"","date":"2026-09-20","time":"20:00","amount":null,"kind":null,"category":null,"account":null,"timezone":"Asia/Shanghai"}</x:v>
      </x:c>
    </x:row>
    <x:row r="80" ht="132" customHeight="1">
      <x:c r="A80" s="7" t="str">
        <x:v>v2-schedule-zh-26</x:v>
      </x:c>
      <x:c r="B80" s="7" t="str">
        <x:v>schedule</x:v>
      </x:c>
      <x:c r="C80" s="7" t="str">
        <x:v>安排7天后21:10的天文社会议。</x:v>
      </x:c>
      <x:c r="D80" s="7" t="str">
        <x:v>draft</x:v>
      </x:c>
      <x:c r="E80" s="7" t="str">
        <x:v>schedule</x:v>
      </x:c>
      <x:c r="F80" s="7" t="str">
        <x:v>draft</x:v>
      </x:c>
      <x:c r="G80" s="7" t="str">
        <x:v>schedule</x:v>
      </x:c>
      <x:c r="H80" s="8" t="n">
        <x:v>1</x:v>
      </x:c>
      <x:c r="I80" s="8" t="n">
        <x:v>2</x:v>
      </x:c>
      <x:c r="J80" s="8" t="n">
        <x:v>2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{"status":"draft","module":"schedule","title":{"containsAny":["天文社"]},"date":"2026-10-09","time":"21:10"}</x:v>
      </x:c>
      <x:c r="P80" s="7" t="str">
        <x:v>{"id":"f1296718-ce91-4d08-9858-9a88717413c2","title":"天文社会议","notes":"","date":"2026-10-09","time":"21:10","amount":null,"kind":null,"category":null,"account":null,"timezone":"Asia/Shanghai"}</x:v>
      </x:c>
    </x:row>
    <x:row r="81" ht="132" customHeight="1">
      <x:c r="A81" s="7" t="str">
        <x:v>v2-finance-zh-02</x:v>
      </x:c>
      <x:c r="B81" s="7" t="str">
        <x:v>finance</x:v>
      </x:c>
      <x:c r="C81" s="7" t="str">
        <x:v>记录今天地铁车费6元，使用微信付款。</x:v>
      </x:c>
      <x:c r="D81" s="7" t="str">
        <x:v>draft</x:v>
      </x:c>
      <x:c r="E81" s="7" t="str">
        <x:v>finance</x:v>
      </x:c>
      <x:c r="F81" s="7" t="str">
        <x:v>draft</x:v>
      </x:c>
      <x:c r="G81" s="7" t="str">
        <x:v>finance</x:v>
      </x:c>
      <x:c r="H81" s="8" t="n">
        <x:v>1</x:v>
      </x:c>
      <x:c r="I81" s="8" t="n">
        <x:v>6</x:v>
      </x:c>
      <x:c r="J81" s="8" t="n">
        <x:v>6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{"status":"draft","module":"finance","title":{"containsAny":["地铁","车费"]},"amount":"6","account":"WeChat","kind":"expense","date":"2026-10-02","category":"Transport"}</x:v>
      </x:c>
      <x:c r="P81" s="7" t="str">
        <x:v>{"id":"bf8f7234-3667-47f5-91d7-67e79ad0bdd9","title":"地铁车费","notes":"6元","date":"2026-10-02","time":null,"amount":"6","kind":"expense","category":"Transport","account":"WeChat","timezone":"Asia/Shanghai"}</x:v>
      </x:c>
    </x:row>
    <x:row r="82" ht="132" customHeight="1">
      <x:c r="A82" s="7" t="str">
        <x:v>v2-finance-zh-10</x:v>
      </x:c>
      <x:c r="B82" s="7" t="str">
        <x:v>finance</x:v>
      </x:c>
      <x:c r="C82" s="7" t="str">
        <x:v>记录昨天打车支出47元，银行卡付款。</x:v>
      </x:c>
      <x:c r="D82" s="7" t="str">
        <x:v>draft</x:v>
      </x:c>
      <x:c r="E82" s="7" t="str">
        <x:v>finance</x:v>
      </x:c>
      <x:c r="F82" s="7" t="str">
        <x:v>draft</x:v>
      </x:c>
      <x:c r="G82" s="7" t="str">
        <x:v>finance</x:v>
      </x:c>
      <x:c r="H82" s="8" t="n">
        <x:v>1</x:v>
      </x:c>
      <x:c r="I82" s="8" t="n">
        <x:v>6</x:v>
      </x:c>
      <x:c r="J82" s="8" t="n">
        <x:v>6</x:v>
      </x:c>
      <x:c r="K82" s="8" t="n">
        <x:v>1</x:v>
      </x:c>
      <x:c r="L82" s="8" t="n">
        <x:v>1</x:v>
      </x:c>
      <x:c r="M82" s="8" t="n">
        <x:v>1</x:v>
      </x:c>
      <x:c r="N82" s="7" t="str"/>
      <x:c r="O82" s="7" t="str">
        <x:v>{"status":"draft","module":"finance","title":{"containsAny":["打车"]},"amount":"47","account":"Bank Card","kind":"expense","date":"2026-10-01","category":"Transport"}</x:v>
      </x:c>
      <x:c r="P82" s="7" t="str">
        <x:v>{"id":"1b844e23-6899-4a67-8e71-60b5dc30ac57","title":"打车支出","notes":"47元","date":"2026-10-01","time":null,"amount":"47","kind":"expense","category":"Transport","account":"Bank Card","timezone":"Asia/Shanghai"}</x:v>
      </x:c>
    </x:row>
    <x:row r="83" ht="132" customHeight="1">
      <x:c r="A83" s="7" t="str">
        <x:v>v2-schedule-zh-29</x:v>
      </x:c>
      <x:c r="B83" s="7" t="str">
        <x:v>schedule</x:v>
      </x:c>
      <x:c r="C83" s="7" t="str">
        <x:v>添加下周一的陶艺课，再查看手机使用情况。</x:v>
      </x:c>
      <x:c r="D83" s="7" t="str">
        <x:v>clarification</x:v>
      </x:c>
      <x:c r="E83" s="7" t="str"/>
      <x:c r="F83" s="7" t="str">
        <x:v>clarification</x:v>
      </x:c>
      <x:c r="G83" s="7" t="str"/>
      <x:c r="H83" s="8" t="n">
        <x:v>1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7" t="str"/>
      <x:c r="O83" s="7" t="str">
        <x:v>{"status":"clarification","module":null}</x:v>
      </x:c>
      <x:c r="P83" s="7" t="str">
        <x:v>{"status":"clarification","reason":"multiple_tasks","module":null,"draft":null,"fields":null}</x:v>
      </x:c>
    </x:row>
    <x:row r="84" ht="132" customHeight="1">
      <x:c r="A84" s="7" t="str">
        <x:v>v2-memo-zh-19</x:v>
      </x:c>
      <x:c r="B84" s="7" t="str">
        <x:v>memo</x:v>
      </x:c>
      <x:c r="C84" s="7" t="str">
        <x:v>加一条备忘录：储物柜密码是2468。</x:v>
      </x:c>
      <x:c r="D84" s="7" t="str">
        <x:v>draft</x:v>
      </x:c>
      <x:c r="E84" s="7" t="str">
        <x:v>memo</x:v>
      </x:c>
      <x:c r="F84" s="7" t="str">
        <x:v>draft</x:v>
      </x:c>
      <x:c r="G84" s="7" t="str">
        <x:v>memo</x:v>
      </x:c>
      <x:c r="H84" s="8" t="n">
        <x:v>1</x:v>
      </x:c>
      <x:c r="I84" s="8" t="n">
        <x:v>2</x:v>
      </x:c>
      <x:c r="J84" s="8" t="n">
        <x:v>2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{"status":"draft","module":"memo","title":{"containsAny":["储物柜","2468"]},"date":null,"priority":null}</x:v>
      </x:c>
      <x:c r="P84" s="7" t="str">
        <x:v>{"id":"1f73592c-5512-4505-9da0-10599005d5fc","title":"储物柜密码","notes":"2468","dueDate":null,"timezone":"Asia/Shanghai","priority":null,"dateText":null,"warnings":["date_missing","priority_missing"]}</x:v>
      </x:c>
    </x:row>
    <x:row r="85" ht="132" customHeight="1">
      <x:c r="A85" s="7" t="str">
        <x:v>v2-schedule-zh-25</x:v>
      </x:c>
      <x:c r="B85" s="7" t="str">
        <x:v>schedule</x:v>
      </x:c>
      <x:c r="C85" s="7" t="str">
        <x:v>日历添加这周二的木工课。</x:v>
      </x:c>
      <x:c r="D85" s="7" t="str">
        <x:v>draft</x:v>
      </x:c>
      <x:c r="E85" s="7" t="str">
        <x:v>schedule</x:v>
      </x:c>
      <x:c r="F85" s="7" t="str">
        <x:v>draft</x:v>
      </x:c>
      <x:c r="G85" s="7" t="str">
        <x:v>schedule</x:v>
      </x:c>
      <x:c r="H85" s="8" t="n">
        <x:v>1</x:v>
      </x:c>
      <x:c r="I85" s="8" t="n">
        <x:v>2</x:v>
      </x:c>
      <x:c r="J85" s="8" t="n">
        <x:v>2</x:v>
      </x:c>
      <x:c r="K85" s="8" t="n">
        <x:v>1</x:v>
      </x:c>
      <x:c r="L85" s="8" t="n">
        <x:v>1</x:v>
      </x:c>
      <x:c r="M85" s="8" t="n">
        <x:v>1</x:v>
      </x:c>
      <x:c r="N85" s="7" t="str"/>
      <x:c r="O85" s="7" t="str">
        <x:v>{"status":"draft","module":"schedule","title":{"containsAny":["木工"]},"date":"2026-10-06","time":null}</x:v>
      </x:c>
      <x:c r="P85" s="7" t="str">
        <x:v>{"id":"4bb2517c-4430-4b29-a434-826161978520","title":"木工课","notes":"","date":"2026-10-06","time":null,"amount":null,"kind":null,"category":null,"account":null,"timezone":"Asia/Shanghai"}</x:v>
      </x:c>
    </x:row>
    <x:row r="86" ht="132" customHeight="1">
      <x:c r="A86" s="7" t="str">
        <x:v>v2-finance-zh-22</x:v>
      </x:c>
      <x:c r="B86" s="7" t="str">
        <x:v>finance</x:v>
      </x:c>
      <x:c r="C86" s="7" t="str">
        <x:v>记账：今天现金洗衣花费33元。</x:v>
      </x:c>
      <x:c r="D86" s="7" t="str">
        <x:v>draft</x:v>
      </x:c>
      <x:c r="E86" s="7" t="str">
        <x:v>finance</x:v>
      </x:c>
      <x:c r="F86" s="7" t="str">
        <x:v>draft</x:v>
      </x:c>
      <x:c r="G86" s="7" t="str">
        <x:v>finance</x:v>
      </x:c>
      <x:c r="H86" s="8" t="n">
        <x:v>1</x:v>
      </x:c>
      <x:c r="I86" s="8" t="n">
        <x:v>6</x:v>
      </x:c>
      <x:c r="J86" s="8" t="n">
        <x:v>6</x:v>
      </x:c>
      <x:c r="K86" s="8" t="n">
        <x:v>1</x:v>
      </x:c>
      <x:c r="L86" s="8" t="n">
        <x:v>1</x:v>
      </x:c>
      <x:c r="M86" s="8" t="n">
        <x:v>1</x:v>
      </x:c>
      <x:c r="N86" s="7" t="str"/>
      <x:c r="O86" s="7" t="str">
        <x:v>{"status":"draft","module":"finance","title":{"containsAny":["洗衣"]},"amount":"33","account":"Cash","kind":"expense","date":"2026-10-02","category":"Others"}</x:v>
      </x:c>
      <x:c r="P86" s="7" t="str">
        <x:v>{"id":"7f5a47c0-044f-44f8-88b6-f8ba3a2a587a","title":"洗衣","notes":"现金","date":"2026-10-02","time":null,"amount":"33","kind":"expense","category":"Others","account":"Cash","timezone":"Asia/Shanghai"}</x:v>
      </x:c>
    </x:row>
    <x:row r="87" ht="132" customHeight="1">
      <x:c r="A87" s="7" t="str">
        <x:v>v2-health-zh-23</x:v>
      </x:c>
      <x:c r="B87" s="7" t="str">
        <x:v>health</x:v>
      </x:c>
      <x:c r="C87" s="7" t="str">
        <x:v>在健康模块记录游泳2公里。</x:v>
      </x:c>
      <x:c r="D87" s="7" t="str">
        <x:v>clarification</x:v>
      </x:c>
      <x:c r="E87" s="7" t="str"/>
      <x:c r="F87" s="7" t="str">
        <x:v>clarification</x:v>
      </x:c>
      <x:c r="G87" s="7" t="str"/>
      <x:c r="H87" s="8" t="n">
        <x:v>1</x:v>
      </x:c>
      <x:c r="I87" s="8" t="n">
        <x:v>0</x:v>
      </x:c>
      <x:c r="J87" s="8" t="n">
        <x:v>0</x:v>
      </x:c>
      <x:c r="K87" s="8" t="n">
        <x:v>1</x:v>
      </x:c>
      <x:c r="L87" s="8" t="n">
        <x:v>0</x:v>
      </x:c>
      <x:c r="M87" s="8" t="n">
        <x:v>0</x:v>
      </x:c>
      <x:c r="N87" s="7" t="str"/>
      <x:c r="O87" s="7" t="str">
        <x:v>{"status":"clarification","module":null}</x:v>
      </x:c>
      <x:c r="P87" s="7" t="str">
        <x:v>{"status":"clarification","reason":"health_unsupported","module":null,"draft":null,"fields":null}</x:v>
      </x:c>
    </x:row>
    <x:row r="88" ht="132" customHeight="1">
      <x:c r="A88" s="7" t="str">
        <x:v>v2-memo-zh-28</x:v>
      </x:c>
      <x:c r="B88" s="7" t="str">
        <x:v>memo</x:v>
      </x:c>
      <x:c r="C88" s="7" t="str">
        <x:v>添加修窗帘的待办，再记录24元午餐支出。</x:v>
      </x:c>
      <x:c r="D88" s="7" t="str">
        <x:v>clarification</x:v>
      </x:c>
      <x:c r="E88" s="7" t="str"/>
      <x:c r="F88" s="7" t="str">
        <x:v>clarification</x:v>
      </x:c>
      <x:c r="G88" s="7" t="str"/>
      <x:c r="H88" s="8" t="n">
        <x:v>1</x:v>
      </x:c>
      <x:c r="I88" s="8" t="n">
        <x:v>0</x:v>
      </x:c>
      <x:c r="J88" s="8" t="n">
        <x:v>0</x:v>
      </x:c>
      <x:c r="K88" s="8" t="n">
        <x:v>1</x:v>
      </x:c>
      <x:c r="L88" s="8" t="n">
        <x:v>0</x:v>
      </x:c>
      <x:c r="M88" s="8" t="n">
        <x:v>0</x:v>
      </x:c>
      <x:c r="N88" s="7" t="str"/>
      <x:c r="O88" s="7" t="str">
        <x:v>{"status":"clarification","module":null}</x:v>
      </x:c>
      <x:c r="P88" s="7" t="str">
        <x:v>{"status":"clarification","reason":"multiple_tasks","module":null,"draft":null,"fields":null}</x:v>
      </x:c>
    </x:row>
    <x:row r="89" ht="132" customHeight="1">
      <x:c r="A89" s="7" t="str">
        <x:v>v2-finance-zh-29</x:v>
      </x:c>
      <x:c r="B89" s="7" t="str">
        <x:v>finance</x:v>
      </x:c>
      <x:c r="C89" s="7" t="str">
        <x:v>记录21元晚餐，再添加明天的小提琴课日程。</x:v>
      </x:c>
      <x:c r="D89" s="7" t="str">
        <x:v>clarification</x:v>
      </x:c>
      <x:c r="E89" s="7" t="str"/>
      <x:c r="F89" s="7" t="str">
        <x:v>clarification</x:v>
      </x:c>
      <x:c r="G89" s="7" t="str"/>
      <x:c r="H89" s="8" t="n">
        <x:v>1</x:v>
      </x:c>
      <x:c r="I89" s="8" t="n">
        <x:v>0</x:v>
      </x:c>
      <x:c r="J89" s="8" t="n">
        <x:v>0</x:v>
      </x:c>
      <x:c r="K89" s="8" t="n">
        <x:v>1</x:v>
      </x:c>
      <x:c r="L89" s="8" t="n">
        <x:v>0</x:v>
      </x:c>
      <x:c r="M89" s="8" t="n">
        <x:v>0</x:v>
      </x:c>
      <x:c r="N89" s="7" t="str"/>
      <x:c r="O89" s="7" t="str">
        <x:v>{"status":"clarification","module":null}</x:v>
      </x:c>
      <x:c r="P89" s="7" t="str">
        <x:v>{"status":"clarification","reason":"multiple_tasks","module":null,"draft":null,"fields":null}</x:v>
      </x:c>
    </x:row>
    <x:row r="90" ht="132" customHeight="1">
      <x:c r="A90" s="7" t="str">
        <x:v>v2-health-zh-12</x:v>
      </x:c>
      <x:c r="B90" s="7" t="str">
        <x:v>health</x:v>
      </x:c>
      <x:c r="C90" s="7" t="str">
        <x:v>带我进入设备使用统计页面。</x:v>
      </x:c>
      <x:c r="D90" s="7" t="str">
        <x:v>draft</x:v>
      </x:c>
      <x:c r="E90" s="7" t="str">
        <x:v>health</x:v>
      </x:c>
      <x:c r="F90" s="7" t="str">
        <x:v>draft</x:v>
      </x:c>
      <x:c r="G90" s="7" t="str">
        <x:v>health</x:v>
      </x:c>
      <x:c r="H90" s="8" t="n">
        <x:v>1</x:v>
      </x:c>
      <x:c r="I90" s="8" t="n">
        <x:v>0</x:v>
      </x:c>
      <x:c r="J90" s="8" t="n">
        <x:v>0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{"status":"draft","module":"health"}</x:v>
      </x:c>
      <x:c r="P90" s="7" t="str">
        <x:v>{"id":"6d393c12-c951-4cfb-aaf1-da50a6e7b9f7","title":"查看手机使用情况","notes":"","date":null,"time":null,"amount":null,"kind":null,"category":null,"account":null,"timezone":"Asia/Shanghai"}</x:v>
      </x:c>
    </x:row>
    <x:row r="91" ht="132" customHeight="1">
      <x:c r="A91" s="7" t="str">
        <x:v>v2-schedule-zh-30</x:v>
      </x:c>
      <x:c r="B91" s="7" t="str">
        <x:v>schedule</x:v>
      </x:c>
      <x:c r="C91" s="7" t="str">
        <x:v>安排明天校园参观，并且添加一个单独的更新护照待办。</x:v>
      </x:c>
      <x:c r="D91" s="7" t="str">
        <x:v>clarification</x:v>
      </x:c>
      <x:c r="E91" s="7" t="str"/>
      <x:c r="F91" s="7" t="str">
        <x:v>clarification</x:v>
      </x:c>
      <x:c r="G91" s="7" t="str"/>
      <x:c r="H91" s="8" t="n">
        <x:v>1</x:v>
      </x:c>
      <x:c r="I91" s="8" t="n">
        <x:v>0</x:v>
      </x:c>
      <x:c r="J91" s="8" t="n">
        <x:v>0</x:v>
      </x:c>
      <x:c r="K91" s="8" t="n">
        <x:v>1</x:v>
      </x:c>
      <x:c r="L91" s="8" t="n">
        <x:v>0</x:v>
      </x:c>
      <x:c r="M91" s="8" t="n">
        <x:v>0</x:v>
      </x:c>
      <x:c r="N91" s="7" t="str"/>
      <x:c r="O91" s="7" t="str">
        <x:v>{"status":"clarification","module":null}</x:v>
      </x:c>
      <x:c r="P91" s="7" t="str">
        <x:v>{"status":"clarification","reason":"multiple_tasks","module":null,"draft":null,"fields":null}</x:v>
      </x:c>
    </x:row>
    <x:row r="92" ht="132" customHeight="1">
      <x:c r="A92" s="7" t="str">
        <x:v>v2-schedule-zh-16</x:v>
      </x:c>
      <x:c r="B92" s="7" t="str">
        <x:v>schedule</x:v>
      </x:c>
      <x:c r="C92" s="7" t="str">
        <x:v>创建历史研讨会日程，不是明天。</x:v>
      </x:c>
      <x:c r="D92" s="7" t="str">
        <x:v>draft</x:v>
      </x:c>
      <x:c r="E92" s="7" t="str">
        <x:v>schedule</x:v>
      </x:c>
      <x:c r="F92" s="7" t="str">
        <x:v>draft</x:v>
      </x:c>
      <x:c r="G92" s="7" t="str">
        <x:v>schedule</x:v>
      </x:c>
      <x:c r="H92" s="8" t="n">
        <x:v>1</x:v>
      </x:c>
      <x:c r="I92" s="8" t="n">
        <x:v>2</x:v>
      </x:c>
      <x:c r="J92" s="8" t="n">
        <x:v>2</x:v>
      </x:c>
      <x:c r="K92" s="8" t="n">
        <x:v>1</x:v>
      </x:c>
      <x:c r="L92" s="8" t="n">
        <x:v>1</x:v>
      </x:c>
      <x:c r="M92" s="8" t="n">
        <x:v>1</x:v>
      </x:c>
      <x:c r="N92" s="7" t="str"/>
      <x:c r="O92" s="7" t="str">
        <x:v>{"status":"draft","module":"schedule","title":{"containsAny":["历史"]},"date":null,"time":null}</x:v>
      </x:c>
      <x:c r="P92" s="7" t="str">
        <x:v>{"id":"edbd7cc1-ba74-4938-9b3c-007ada19555d","title":"历史研讨会","notes":"","date":null,"time":null,"amount":null,"kind":null,"category":null,"account":null,"timezone":"Asia/Shanghai"}</x:v>
      </x:c>
    </x:row>
    <x:row r="93" ht="132" customHeight="1">
      <x:c r="A93" s="7" t="str">
        <x:v>v2-memo-zh-11</x:v>
      </x:c>
      <x:c r="B93" s="7" t="str">
        <x:v>memo</x:v>
      </x:c>
      <x:c r="C93" s="7" t="str">
        <x:v>加个待办，最近找时间整理胶片底片。</x:v>
      </x:c>
      <x:c r="D93" s="7" t="str">
        <x:v>draft</x:v>
      </x:c>
      <x:c r="E93" s="7" t="str">
        <x:v>memo</x:v>
      </x:c>
      <x:c r="F93" s="7" t="str">
        <x:v>draft</x:v>
      </x:c>
      <x:c r="G93" s="7" t="str">
        <x:v>memo</x:v>
      </x:c>
      <x:c r="H93" s="8" t="n">
        <x:v>1</x:v>
      </x:c>
      <x:c r="I93" s="8" t="n">
        <x:v>2</x:v>
      </x:c>
      <x:c r="J93" s="8" t="n">
        <x:v>2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{"status":"draft","module":"memo","title":{"containsAny":["底片"]},"date":null,"priority":null}</x:v>
      </x:c>
      <x:c r="P93" s="7" t="str">
        <x:v>{"id":"6d09129c-d47b-41d4-abba-be2fb850680f","title":"整理胶片底片","notes":"待办事项","dueDate":null,"timezone":"Asia/Shanghai","priority":null,"dateText":null,"warnings":["date_missing","priority_missing"]}</x:v>
      </x:c>
    </x:row>
    <x:row r="94" ht="132" customHeight="1">
      <x:c r="A94" s="7" t="str">
        <x:v>v2-finance-zh-28</x:v>
      </x:c>
      <x:c r="B94" s="7" t="str">
        <x:v>finance</x:v>
      </x:c>
      <x:c r="C94" s="7" t="str">
        <x:v>记录现金购买图书18美元。</x:v>
      </x:c>
      <x:c r="D94" s="7" t="str">
        <x:v>clarification</x:v>
      </x:c>
      <x:c r="E94" s="7" t="str"/>
      <x:c r="F94" s="7" t="str">
        <x:v>clarification</x:v>
      </x:c>
      <x:c r="G94" s="7" t="str"/>
      <x:c r="H94" s="8" t="n">
        <x:v>1</x:v>
      </x:c>
      <x:c r="I94" s="8" t="n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0</x:v>
      </x:c>
      <x:c r="N94" s="7" t="str"/>
      <x:c r="O94" s="7" t="str">
        <x:v>{"status":"clarification","module":null}</x:v>
      </x:c>
      <x:c r="P94" s="7" t="str">
        <x:v>{"status":"clarification","reason":"unsupported_currency","module":null,"draft":null,"fields":null}</x:v>
      </x:c>
    </x:row>
    <x:row r="95" ht="132" customHeight="1">
      <x:c r="A95" s="7" t="str">
        <x:v>v2-finance-zh-11</x:v>
      </x:c>
      <x:c r="B95" s="7" t="str">
        <x:v>finance</x:v>
      </x:c>
      <x:c r="C95" s="7" t="str">
        <x:v>记录2026年9月24日现金购买文具28元。</x:v>
      </x:c>
      <x:c r="D95" s="7" t="str">
        <x:v>draft</x:v>
      </x:c>
      <x:c r="E95" s="7" t="str">
        <x:v>finance</x:v>
      </x:c>
      <x:c r="F95" s="7" t="str">
        <x:v>draft</x:v>
      </x:c>
      <x:c r="G95" s="7" t="str">
        <x:v>finance</x:v>
      </x:c>
      <x:c r="H95" s="8" t="n">
        <x:v>1</x:v>
      </x:c>
      <x:c r="I95" s="8" t="n">
        <x:v>6</x:v>
      </x:c>
      <x:c r="J95" s="8" t="n">
        <x:v>6</x:v>
      </x:c>
      <x:c r="K95" s="8" t="n">
        <x:v>1</x:v>
      </x:c>
      <x:c r="L95" s="8" t="n">
        <x:v>1</x:v>
      </x:c>
      <x:c r="M95" s="8" t="n">
        <x:v>1</x:v>
      </x:c>
      <x:c r="N95" s="7" t="str"/>
      <x:c r="O95" s="7" t="str">
        <x:v>{"status":"draft","module":"finance","title":{"containsAny":["文具"]},"amount":"28","account":"Cash","kind":"expense","date":"2026-09-24","category":"Shopping"}</x:v>
      </x:c>
      <x:c r="P95" s="7" t="str">
        <x:v>{"id":"01467985-4a7c-47fd-9d08-342aab0046e3","title":"购买文具","notes":"2026年9月24日","date":"2026-09-24","time":null,"amount":"28","kind":"expense","category":"Shopping","account":"Cash","timezone":"Asia/Shanghai"}</x:v>
      </x:c>
    </x:row>
    <x:row r="96" ht="132" customHeight="1">
      <x:c r="A96" s="7" t="str">
        <x:v>v2-health-zh-10</x:v>
      </x:c>
      <x:c r="B96" s="7" t="str">
        <x:v>health</x:v>
      </x:c>
      <x:c r="C96" s="7" t="str">
        <x:v>开始写作业前，能查看屏幕使用时长吗？</x:v>
      </x:c>
      <x:c r="D96" s="7" t="str">
        <x:v>draft</x:v>
      </x:c>
      <x:c r="E96" s="7" t="str">
        <x:v>health</x:v>
      </x:c>
      <x:c r="F96" s="7" t="str">
        <x:v>draft</x:v>
      </x:c>
      <x:c r="G96" s="7" t="str">
        <x:v>health</x:v>
      </x:c>
      <x:c r="H96" s="8" t="n">
        <x:v>1</x:v>
      </x:c>
      <x:c r="I96" s="8" t="n">
        <x:v>0</x:v>
      </x:c>
      <x:c r="J96" s="8" t="n">
        <x:v>0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{"status":"draft","module":"health"}</x:v>
      </x:c>
      <x:c r="P96" s="7" t="str">
        <x:v>{"id":"8567982a-3248-4641-ad27-f0a35191fd36","title":"查看手机使用情况","notes":"","date":null,"time":null,"amount":null,"kind":null,"category":null,"account":null,"timezone":"Asia/Shanghai"}</x:v>
      </x:c>
    </x:row>
    <x:row r="97" ht="132" customHeight="1">
      <x:c r="A97" s="7" t="str">
        <x:v>v2-health-zh-06</x:v>
      </x:c>
      <x:c r="B97" s="7" t="str">
        <x:v>health</x:v>
      </x:c>
      <x:c r="C97" s="7" t="str">
        <x:v>今天哪些应用占用了我的屏幕时间？打开使用情况页面。</x:v>
      </x:c>
      <x:c r="D97" s="7" t="str">
        <x:v>draft</x:v>
      </x:c>
      <x:c r="E97" s="7" t="str">
        <x:v>health</x:v>
      </x:c>
      <x:c r="F97" s="7" t="str">
        <x:v>draft</x:v>
      </x:c>
      <x:c r="G97" s="7" t="str">
        <x:v>health</x:v>
      </x:c>
      <x:c r="H97" s="8" t="n">
        <x:v>1</x:v>
      </x:c>
      <x:c r="I97" s="8" t="n">
        <x:v>0</x:v>
      </x:c>
      <x:c r="J97" s="8" t="n">
        <x:v>0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{"status":"draft","module":"health"}</x:v>
      </x:c>
      <x:c r="P97" s="7" t="str">
        <x:v>{"id":"1c0e77a1-c3ba-41c2-8d71-f65547f4f7dc","title":"查看手机使用情况","notes":"打开使用情况页面","date":"2026-10-02","time":null,"amount":null,"kind":null,"category":null,"account":null,"timezone":"Asia/Shanghai"}</x:v>
      </x:c>
    </x:row>
    <x:row r="98" ht="132" customHeight="1">
      <x:c r="A98" s="7" t="str">
        <x:v>v2-health-zh-17</x:v>
      </x:c>
      <x:c r="B98" s="7" t="str">
        <x:v>health</x:v>
      </x:c>
      <x:c r="C98" s="7" t="str">
        <x:v>查询今天每个app的使用时间。</x:v>
      </x:c>
      <x:c r="D98" s="7" t="str">
        <x:v>draft</x:v>
      </x:c>
      <x:c r="E98" s="7" t="str">
        <x:v>health</x:v>
      </x:c>
      <x:c r="F98" s="7" t="str">
        <x:v>draft</x:v>
      </x:c>
      <x:c r="G98" s="7" t="str">
        <x:v>health</x:v>
      </x:c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1</x:v>
      </x:c>
      <x:c r="M98" s="8" t="n">
        <x:v>1</x:v>
      </x:c>
      <x:c r="N98" s="7" t="str"/>
      <x:c r="O98" s="7" t="str">
        <x:v>{"status":"draft","module":"health"}</x:v>
      </x:c>
      <x:c r="P98" s="7" t="str">
        <x:v>{"id":"7f84a382-bcae-4bd5-8a10-0800c72bfa41","title":"查看手机使用情况","notes":"","date":"2026-10-02","time":null,"amount":null,"kind":null,"category":null,"account":null,"timezone":"Asia/Shanghai"}</x:v>
      </x:c>
    </x:row>
    <x:row r="99" ht="132" customHeight="1">
      <x:c r="A99" s="7" t="str">
        <x:v>v2-memo-zh-24</x:v>
      </x:c>
      <x:c r="B99" s="7" t="str">
        <x:v>memo</x:v>
      </x:c>
      <x:c r="C99" s="7" t="str">
        <x:v>创建普通优先级任务，给阳台植物浇水。</x:v>
      </x:c>
      <x:c r="D99" s="7" t="str">
        <x:v>draft</x:v>
      </x:c>
      <x:c r="E99" s="7" t="str">
        <x:v>memo</x:v>
      </x:c>
      <x:c r="F99" s="7" t="str">
        <x:v>draft</x:v>
      </x:c>
      <x:c r="G99" s="7" t="str">
        <x:v>memo</x:v>
      </x:c>
      <x:c r="H99" s="8" t="n">
        <x:v>1</x:v>
      </x:c>
      <x:c r="I99" s="8" t="n">
        <x:v>1</x:v>
      </x:c>
      <x:c r="J99" s="8" t="n">
        <x:v>2</x:v>
      </x:c>
      <x:c r="K99" s="8" t="n">
        <x:v>0</x:v>
      </x:c>
      <x:c r="L99" s="8" t="n">
        <x:v>1</x:v>
      </x:c>
      <x:c r="M99" s="8" t="n">
        <x:v>0</x:v>
      </x:c>
      <x:c r="N99" s="7" t="str">
        <x:v>title</x:v>
      </x:c>
      <x:c r="O99" s="7" t="str">
        <x:v>{"status":"draft","module":"memo","title":{"containsAny":["植物","阳台"]},"priority":"normal","date":null}</x:v>
      </x:c>
      <x:c r="P99" s="7" t="str">
        <x:v>{"id":"6e461329-d8b4-44a4-8208-50c0deaf4ddb","title":"浇水","notes":"","dueDate":null,"timezone":"Asia/Shanghai","priority":"normal","dateText":null,"warnings":["date_missing"]}</x:v>
      </x:c>
    </x:row>
    <x:row r="100" ht="132" customHeight="1">
      <x:c r="A100" s="7" t="str">
        <x:v>v2-memo-zh-05</x:v>
      </x:c>
      <x:c r="B100" s="7" t="str">
        <x:v>memo</x:v>
      </x:c>
      <x:c r="C100" s="7" t="str">
        <x:v>保存备忘录，内容是屋顶菜园的想法。</x:v>
      </x:c>
      <x:c r="D100" s="7" t="str">
        <x:v>draft</x:v>
      </x:c>
      <x:c r="E100" s="7" t="str">
        <x:v>memo</x:v>
      </x:c>
      <x:c r="F100" s="7" t="str">
        <x:v>draft</x:v>
      </x:c>
      <x:c r="G100" s="7" t="str">
        <x:v>memo</x:v>
      </x:c>
      <x:c r="H100" s="8" t="n">
        <x:v>1</x:v>
      </x:c>
      <x:c r="I100" s="8" t="n">
        <x:v>2</x:v>
      </x:c>
      <x:c r="J100" s="8" t="n">
        <x:v>2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{"status":"draft","module":"memo","title":{"containsAny":["菜园"]},"date":null,"priority":null}</x:v>
      </x:c>
      <x:c r="P100" s="7" t="str">
        <x:v>{"id":"b86b3a7b-3026-445a-abda-d44b024ad196","title":"屋顶菜园的想法","notes":"","dueDate":null,"timezone":"Asia/Shanghai","priority":null,"dateText":null,"warnings":["date_missing","priority_missing"]}</x:v>
      </x:c>
    </x:row>
    <x:row r="101" ht="132" customHeight="1">
      <x:c r="A101" s="7" t="str">
        <x:v>v2-finance-zh-13</x:v>
      </x:c>
      <x:c r="B101" s="7" t="str">
        <x:v>finance</x:v>
      </x:c>
      <x:c r="C101" s="7" t="str">
        <x:v>记录今天买茶花了14元，没有指定账户。</x:v>
      </x:c>
      <x:c r="D101" s="7" t="str">
        <x:v>draft</x:v>
      </x:c>
      <x:c r="E101" s="7" t="str">
        <x:v>finance</x:v>
      </x:c>
      <x:c r="F101" s="7" t="str">
        <x:v>draft</x:v>
      </x:c>
      <x:c r="G101" s="7" t="str">
        <x:v>finance</x:v>
      </x:c>
      <x:c r="H101" s="8" t="n">
        <x:v>1</x:v>
      </x:c>
      <x:c r="I101" s="8" t="n">
        <x:v>6</x:v>
      </x:c>
      <x:c r="J101" s="8" t="n">
        <x:v>6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{"status":"draft","module":"finance","title":{"containsAny":["茶"]},"amount":"14","account":null,"kind":"expense","date":"2026-10-02","category":"Food &amp; Drinks"}</x:v>
      </x:c>
      <x:c r="P101" s="7" t="str">
        <x:v>{"id":"7d8af53f-6db2-4e70-a043-15bb6c26d9b8","title":"茶","notes":"14元","date":"2026-10-02","time":null,"amount":"14","kind":"expense","category":"Food &amp; Drinks","account":null,"timezone":"Asia/Shanghai"}</x:v>
      </x:c>
    </x:row>
    <x:row r="102" ht="132" customHeight="1">
      <x:c r="A102" s="7" t="str">
        <x:v>v2-schedule-zh-23</x:v>
      </x:c>
      <x:c r="B102" s="7" t="str">
        <x:v>schedule</x:v>
      </x:c>
      <x:c r="C102" s="7" t="str">
        <x:v>添加明天下午3点半的音乐练习日程。</x:v>
      </x:c>
      <x:c r="D102" s="7" t="str">
        <x:v>draft</x:v>
      </x:c>
      <x:c r="E102" s="7" t="str">
        <x:v>schedule</x:v>
      </x:c>
      <x:c r="F102" s="7" t="str">
        <x:v>draft</x:v>
      </x:c>
      <x:c r="G102" s="7" t="str">
        <x:v>schedule</x:v>
      </x:c>
      <x:c r="H102" s="8" t="n">
        <x:v>1</x:v>
      </x:c>
      <x:c r="I102" s="8" t="n">
        <x:v>2</x:v>
      </x:c>
      <x:c r="J102" s="8" t="n">
        <x:v>2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{"status":"draft","module":"schedule","title":{"containsAny":["音乐","练习"]},"date":"2026-10-03","time":"15:30"}</x:v>
      </x:c>
      <x:c r="P102" s="7" t="str">
        <x:v>{"id":"c01e5ee5-80d9-4919-b7f3-142c2264c2b0","title":"音乐练习","notes":"明天下午3点半","date":"2026-10-03","time":"15:30","amount":null,"kind":null,"category":null,"account":null,"timezone":"Asia/Shanghai"}</x:v>
      </x:c>
    </x:row>
    <x:row r="103" ht="132" customHeight="1">
      <x:c r="A103" s="7" t="str">
        <x:v>v2-finance-zh-14</x:v>
      </x:c>
      <x:c r="B103" s="7" t="str">
        <x:v>finance</x:v>
      </x:c>
      <x:c r="C103" s="7" t="str">
        <x:v>记录现金购买食品杂货支出56元，日期不详。</x:v>
      </x:c>
      <x:c r="D103" s="7" t="str">
        <x:v>draft</x:v>
      </x:c>
      <x:c r="E103" s="7" t="str">
        <x:v>finance</x:v>
      </x:c>
      <x:c r="F103" s="7" t="str">
        <x:v>draft</x:v>
      </x:c>
      <x:c r="G103" s="7" t="str">
        <x:v>finance</x:v>
      </x:c>
      <x:c r="H103" s="8" t="n">
        <x:v>1</x:v>
      </x:c>
      <x:c r="I103" s="8" t="n">
        <x:v>5</x:v>
      </x:c>
      <x:c r="J103" s="8" t="n">
        <x:v>5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{"status":"draft","module":"finance","title":{"containsAny":["食品","杂货"]},"amount":"56","account":"Cash","kind":"expense","date":null}</x:v>
      </x:c>
      <x:c r="P103" s="7" t="str">
        <x:v>{"id":"07968019-a520-42ba-a26f-c1e4324241e5","title":"食品杂货支出","notes":"56元","date":null,"time":null,"amount":"56","kind":"expense","category":"Food &amp; Drinks","account":"Cash","timezone":"Asia/Shanghai"}</x:v>
      </x:c>
    </x:row>
    <x:row r="104" ht="132" customHeight="1">
      <x:c r="A104" s="7" t="str">
        <x:v>v2-finance-zh-09</x:v>
      </x:c>
      <x:c r="B104" s="7" t="str">
        <x:v>finance</x:v>
      </x:c>
      <x:c r="C104" s="7" t="str">
        <x:v>记账：今天支付宝缴纳电费117.30元。</x:v>
      </x:c>
      <x:c r="D104" s="7" t="str">
        <x:v>draft</x:v>
      </x:c>
      <x:c r="E104" s="7" t="str">
        <x:v>finance</x:v>
      </x:c>
      <x:c r="F104" s="7" t="str">
        <x:v>draft</x:v>
      </x:c>
      <x:c r="G104" s="7" t="str">
        <x:v>finance</x:v>
      </x:c>
      <x:c r="H104" s="8" t="n">
        <x:v>1</x:v>
      </x:c>
      <x:c r="I104" s="8" t="n">
        <x:v>6</x:v>
      </x:c>
      <x:c r="J104" s="8" t="n">
        <x:v>6</x:v>
      </x:c>
      <x:c r="K104" s="8" t="n">
        <x:v>1</x:v>
      </x:c>
      <x:c r="L104" s="8" t="n">
        <x:v>1</x:v>
      </x:c>
      <x:c r="M104" s="8" t="n">
        <x:v>1</x:v>
      </x:c>
      <x:c r="N104" s="7" t="str"/>
      <x:c r="O104" s="7" t="str">
        <x:v>{"status":"draft","module":"finance","title":{"containsAny":["电费"]},"amount":"117.30","account":"Alipay","kind":"expense","date":"2026-10-02","category":"Bills"}</x:v>
      </x:c>
      <x:c r="P104" s="7" t="str">
        <x:v>{"id":"8770c73d-395d-4b9a-8826-77e91eee5703","title":"电费","notes":"","date":"2026-10-02","time":null,"amount":"117.30","kind":"expense","category":"Bills","account":"Alipay","timezone":"Asia/Shanghai"}</x:v>
      </x:c>
    </x:row>
    <x:row r="105" ht="132" customHeight="1">
      <x:c r="A105" s="7" t="str">
        <x:v>v2-memo-zh-30</x:v>
      </x:c>
      <x:c r="B105" s="7" t="str">
        <x:v>memo</x:v>
      </x:c>
      <x:c r="C105" s="7" t="str">
        <x:v>添加打印问卷的任务，再查看手机使用时长。</x:v>
      </x:c>
      <x:c r="D105" s="7" t="str">
        <x:v>clarification</x:v>
      </x:c>
      <x:c r="E105" s="7" t="str"/>
      <x:c r="F105" s="7" t="str">
        <x:v>clarification</x:v>
      </x:c>
      <x:c r="G105" s="7" t="str"/>
      <x:c r="H105" s="8" t="n">
        <x:v>1</x:v>
      </x:c>
      <x:c r="I105" s="8" t="n">
        <x:v>0</x:v>
      </x:c>
      <x:c r="J105" s="8" t="n">
        <x:v>0</x:v>
      </x:c>
      <x:c r="K105" s="8" t="n">
        <x:v>1</x:v>
      </x:c>
      <x:c r="L105" s="8" t="n">
        <x:v>0</x:v>
      </x:c>
      <x:c r="M105" s="8" t="n">
        <x:v>0</x:v>
      </x:c>
      <x:c r="N105" s="7" t="str"/>
      <x:c r="O105" s="7" t="str">
        <x:v>{"status":"clarification","module":null}</x:v>
      </x:c>
      <x:c r="P105" s="7" t="str">
        <x:v>{"status":"clarification","reason":"multiple_tasks","module":null,"draft":null,"fields":null}</x:v>
      </x:c>
    </x:row>
    <x:row r="106" ht="132" customHeight="1">
      <x:c r="A106" s="7" t="str">
        <x:v>v2-health-zh-27</x:v>
      </x:c>
      <x:c r="B106" s="7" t="str">
        <x:v>health</x:v>
      </x:c>
      <x:c r="C106" s="7" t="str">
        <x:v>在健康模块给我制定个人饮食计划。</x:v>
      </x:c>
      <x:c r="D106" s="7" t="str">
        <x:v>clarification</x:v>
      </x:c>
      <x:c r="E106" s="7" t="str"/>
      <x:c r="F106" s="7" t="str">
        <x:v>clarification</x:v>
      </x:c>
      <x:c r="G106" s="7" t="str"/>
      <x:c r="H106" s="8" t="n">
        <x:v>1</x:v>
      </x:c>
      <x:c r="I106" s="8" t="n">
        <x:v>0</x:v>
      </x:c>
      <x:c r="J106" s="8" t="n">
        <x:v>0</x:v>
      </x:c>
      <x:c r="K106" s="8" t="n">
        <x:v>1</x:v>
      </x:c>
      <x:c r="L106" s="8" t="n">
        <x:v>0</x:v>
      </x:c>
      <x:c r="M106" s="8" t="n">
        <x:v>0</x:v>
      </x:c>
      <x:c r="N106" s="7" t="str"/>
      <x:c r="O106" s="7" t="str">
        <x:v>{"status":"clarification","module":null}</x:v>
      </x:c>
      <x:c r="P106" s="7" t="str">
        <x:v>{"status":"clarification","reason":"health_unsupported","module":null,"draft":null,"fields":null}</x:v>
      </x:c>
    </x:row>
    <x:row r="107" ht="132" customHeight="1">
      <x:c r="A107" s="7" t="str">
        <x:v>v2-schedule-zh-03</x:v>
      </x:c>
      <x:c r="B107" s="7" t="str">
        <x:v>schedule</x:v>
      </x:c>
      <x:c r="C107" s="7" t="str">
        <x:v>日历添加本周五14:05的地理讲座。</x:v>
      </x:c>
      <x:c r="D107" s="7" t="str">
        <x:v>draft</x:v>
      </x:c>
      <x:c r="E107" s="7" t="str">
        <x:v>schedule</x:v>
      </x:c>
      <x:c r="F107" s="7" t="str">
        <x:v>draft</x:v>
      </x:c>
      <x:c r="G107" s="7" t="str">
        <x:v>schedule</x:v>
      </x:c>
      <x:c r="H107" s="8" t="n">
        <x:v>1</x:v>
      </x:c>
      <x:c r="I107" s="8" t="n">
        <x:v>2</x:v>
      </x:c>
      <x:c r="J107" s="8" t="n">
        <x:v>2</x:v>
      </x:c>
      <x:c r="K107" s="8" t="n">
        <x:v>1</x:v>
      </x:c>
      <x:c r="L107" s="8" t="n">
        <x:v>1</x:v>
      </x:c>
      <x:c r="M107" s="8" t="n">
        <x:v>1</x:v>
      </x:c>
      <x:c r="N107" s="7" t="str"/>
      <x:c r="O107" s="7" t="str">
        <x:v>{"status":"draft","module":"schedule","title":{"containsAny":["地理"]},"date":"2026-10-02","time":"14:05"}</x:v>
      </x:c>
      <x:c r="P107" s="7" t="str">
        <x:v>{"id":"3ea0d96e-0a28-4489-af7a-5c08ea0cef8f","title":"地理讲座","notes":"","date":"2026-10-02","time":"14:05","amount":null,"kind":null,"category":null,"account":null,"timezone":"Asia/Shanghai"}</x:v>
      </x:c>
    </x:row>
    <x:row r="108" ht="132" customHeight="1">
      <x:c r="A108" s="7" t="str">
        <x:v>v2-schedule-zh-12</x:v>
      </x:c>
      <x:c r="B108" s="7" t="str">
        <x:v>schedule</x:v>
      </x:c>
      <x:c r="C108" s="7" t="str">
        <x:v>添加明天的统计学辅导课，时间尚未指定。</x:v>
      </x:c>
      <x:c r="D108" s="7" t="str">
        <x:v>draft</x:v>
      </x:c>
      <x:c r="E108" s="7" t="str">
        <x:v>schedule</x:v>
      </x:c>
      <x:c r="F108" s="7" t="str">
        <x:v>draft</x:v>
      </x:c>
      <x:c r="G108" s="7" t="str">
        <x:v>schedule</x:v>
      </x:c>
      <x:c r="H108" s="8" t="n">
        <x:v>1</x:v>
      </x:c>
      <x:c r="I108" s="8" t="n">
        <x:v>2</x:v>
      </x:c>
      <x:c r="J108" s="8" t="n">
        <x:v>2</x:v>
      </x:c>
      <x:c r="K108" s="8" t="n">
        <x:v>1</x:v>
      </x:c>
      <x:c r="L108" s="8" t="n">
        <x:v>1</x:v>
      </x:c>
      <x:c r="M108" s="8" t="n">
        <x:v>1</x:v>
      </x:c>
      <x:c r="N108" s="7" t="str"/>
      <x:c r="O108" s="7" t="str">
        <x:v>{"status":"draft","module":"schedule","title":{"containsAny":["统计"]},"date":"2026-10-03","time":null}</x:v>
      </x:c>
      <x:c r="P108" s="7" t="str">
        <x:v>{"id":"d04fbdfa-6b11-401c-aaba-551200588c88","title":"统计学辅导课","notes":"","date":"2026-10-03","time":null,"amount":null,"kind":null,"category":null,"account":null,"timezone":"Asia/Shanghai"}</x:v>
      </x:c>
    </x:row>
    <x:row r="109" ht="132" customHeight="1">
      <x:c r="A109" s="7" t="str">
        <x:v>v2-memo-zh-29</x:v>
      </x:c>
      <x:c r="B109" s="7" t="str">
        <x:v>memo</x:v>
      </x:c>
      <x:c r="C109" s="7" t="str">
        <x:v>创建温室相关备忘录，并且安排明天的排练。</x:v>
      </x:c>
      <x:c r="D109" s="7" t="str">
        <x:v>clarification</x:v>
      </x:c>
      <x:c r="E109" s="7" t="str"/>
      <x:c r="F109" s="7" t="str">
        <x:v>clarification</x:v>
      </x:c>
      <x:c r="G109" s="7" t="str"/>
      <x:c r="H109" s="8" t="n">
        <x:v>1</x:v>
      </x:c>
      <x:c r="I109" s="8" t="n">
        <x:v>0</x:v>
      </x:c>
      <x:c r="J109" s="8" t="n">
        <x:v>0</x:v>
      </x:c>
      <x:c r="K109" s="8" t="n">
        <x:v>1</x:v>
      </x:c>
      <x:c r="L109" s="8" t="n">
        <x:v>0</x:v>
      </x:c>
      <x:c r="M109" s="8" t="n">
        <x:v>0</x:v>
      </x:c>
      <x:c r="N109" s="7" t="str"/>
      <x:c r="O109" s="7" t="str">
        <x:v>{"status":"clarification","module":null}</x:v>
      </x:c>
      <x:c r="P109" s="7" t="str">
        <x:v>{"status":"clarification","reason":"multiple_tasks","module":null,"draft":null,"fields":null}</x:v>
      </x:c>
    </x:row>
    <x:row r="110" ht="132" customHeight="1">
      <x:c r="A110" s="7" t="str">
        <x:v>v2-health-zh-24</x:v>
      </x:c>
      <x:c r="B110" s="7" t="str">
        <x:v>health</x:v>
      </x:c>
      <x:c r="C110" s="7" t="str">
        <x:v>在健康追踪里记录喝水350毫升。</x:v>
      </x:c>
      <x:c r="D110" s="7" t="str">
        <x:v>clarification</x:v>
      </x:c>
      <x:c r="E110" s="7" t="str"/>
      <x:c r="F110" s="7" t="str">
        <x:v>clarification</x:v>
      </x:c>
      <x:c r="G110" s="7" t="str"/>
      <x:c r="H110" s="8" t="n">
        <x:v>1</x:v>
      </x:c>
      <x:c r="I110" s="8" t="n">
        <x:v>0</x:v>
      </x:c>
      <x:c r="J110" s="8" t="n">
        <x:v>0</x:v>
      </x:c>
      <x:c r="K110" s="8" t="n">
        <x:v>1</x:v>
      </x:c>
      <x:c r="L110" s="8" t="n">
        <x:v>0</x:v>
      </x:c>
      <x:c r="M110" s="8" t="n">
        <x:v>0</x:v>
      </x:c>
      <x:c r="N110" s="7" t="str"/>
      <x:c r="O110" s="7" t="str">
        <x:v>{"status":"clarification","module":null}</x:v>
      </x:c>
      <x:c r="P110" s="7" t="str">
        <x:v>{"status":"clarification","reason":"health_unsupported","module":null,"draft":null,"fields":null}</x:v>
      </x:c>
    </x:row>
    <x:row r="111" ht="132" customHeight="1">
      <x:c r="A111" s="7" t="str">
        <x:v>v2-health-zh-16</x:v>
      </x:c>
      <x:c r="B111" s="7" t="str">
        <x:v>health</x:v>
      </x:c>
      <x:c r="C111" s="7" t="str">
        <x:v>请显示Health里的手机使用页面。</x:v>
      </x:c>
      <x:c r="D111" s="7" t="str">
        <x:v>draft</x:v>
      </x:c>
      <x:c r="E111" s="7" t="str">
        <x:v>health</x:v>
      </x:c>
      <x:c r="F111" s="7" t="str">
        <x:v>draft</x:v>
      </x:c>
      <x:c r="G111" s="7" t="str">
        <x:v>health</x:v>
      </x:c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1</x:v>
      </x:c>
      <x:c r="M111" s="8" t="n">
        <x:v>1</x:v>
      </x:c>
      <x:c r="N111" s="7" t="str"/>
      <x:c r="O111" s="7" t="str">
        <x:v>{"status":"draft","module":"health"}</x:v>
      </x:c>
      <x:c r="P111" s="7" t="str">
        <x:v>{"id":"c5adf8dd-0f23-46cf-af2d-a38fc850316a","title":"查看手机使用情况","notes":"","date":null,"time":null,"amount":null,"kind":null,"category":null,"account":null,"timezone":"Asia/Shanghai"}</x:v>
      </x:c>
    </x:row>
    <x:row r="112" ht="132" customHeight="1">
      <x:c r="A112" s="7" t="str">
        <x:v>v2-health-zh-07</x:v>
      </x:c>
      <x:c r="B112" s="7" t="str">
        <x:v>health</x:v>
      </x:c>
      <x:c r="C112" s="7" t="str">
        <x:v>展示今天手机使用总时长。</x:v>
      </x:c>
      <x:c r="D112" s="7" t="str">
        <x:v>draft</x:v>
      </x:c>
      <x:c r="E112" s="7" t="str">
        <x:v>health</x:v>
      </x:c>
      <x:c r="F112" s="7" t="str">
        <x:v>draft</x:v>
      </x:c>
      <x:c r="G112" s="7" t="str">
        <x:v>health</x:v>
      </x:c>
      <x:c r="H112" s="8" t="n">
        <x:v>1</x:v>
      </x:c>
      <x:c r="I112" s="8" t="n">
        <x:v>0</x:v>
      </x:c>
      <x:c r="J112" s="8" t="n">
        <x:v>0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{"status":"draft","module":"health"}</x:v>
      </x:c>
      <x:c r="P112" s="7" t="str">
        <x:v>{"id":"87ebdcfa-f1bc-441f-a020-58950d1784f7","title":"查看手机使用情况","notes":"","date":"2026-10-02","time":null,"amount":null,"kind":null,"category":null,"account":null,"timezone":"Asia/Shanghai"}</x:v>
      </x:c>
    </x:row>
    <x:row r="113" ht="132" customHeight="1">
      <x:c r="A113" s="7" t="str">
        <x:v>v2-memo-zh-16</x:v>
      </x:c>
      <x:c r="B113" s="7" t="str">
        <x:v>memo</x:v>
      </x:c>
      <x:c r="C113" s="7" t="str">
        <x:v>添加待办修理台灯，日期待定。</x:v>
      </x:c>
      <x:c r="D113" s="7" t="str">
        <x:v>draft</x:v>
      </x:c>
      <x:c r="E113" s="7" t="str">
        <x:v>memo</x:v>
      </x:c>
      <x:c r="F113" s="7" t="str">
        <x:v>draft</x:v>
      </x:c>
      <x:c r="G113" s="7" t="str">
        <x:v>memo</x:v>
      </x:c>
      <x:c r="H113" s="8" t="n">
        <x:v>1</x:v>
      </x:c>
      <x:c r="I113" s="8" t="n">
        <x:v>2</x:v>
      </x:c>
      <x:c r="J113" s="8" t="n">
        <x:v>2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{"status":"draft","module":"memo","title":{"containsAny":["台灯"]},"date":null,"priority":null}</x:v>
      </x:c>
      <x:c r="P113" s="7" t="str">
        <x:v>{"id":"14a61e7c-a322-4eb7-a6ac-c6f139beac2a","title":"修理台灯","notes":"待定","dueDate":null,"timezone":"Asia/Shanghai","priority":null,"dateText":"待定","warnings":["date_needs_review","priority_missing"]}</x:v>
      </x:c>
    </x:row>
    <x:row r="114" ht="132" customHeight="1">
      <x:c r="A114" s="7" t="str">
        <x:v>v2-schedule-zh-01</x:v>
      </x:c>
      <x:c r="B114" s="7" t="str">
        <x:v>schedule</x:v>
      </x:c>
      <x:c r="C114" s="7" t="str">
        <x:v>安排明天09:15的陶艺工作坊。</x:v>
      </x:c>
      <x:c r="D114" s="7" t="str">
        <x:v>draft</x:v>
      </x:c>
      <x:c r="E114" s="7" t="str">
        <x:v>schedule</x:v>
      </x:c>
      <x:c r="F114" s="7" t="str">
        <x:v>draft</x:v>
      </x:c>
      <x:c r="G114" s="7" t="str">
        <x:v>schedule</x:v>
      </x:c>
      <x:c r="H114" s="8" t="n">
        <x:v>1</x:v>
      </x:c>
      <x:c r="I114" s="8" t="n">
        <x:v>2</x:v>
      </x:c>
      <x:c r="J114" s="8" t="n">
        <x:v>2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{"status":"draft","module":"schedule","title":{"containsAny":["陶艺","工作坊"]},"date":"2026-10-03","time":"09:15"}</x:v>
      </x:c>
      <x:c r="P114" s="7" t="str">
        <x:v>{"id":"147ee422-a24e-4c05-ae03-6b502684a20f","title":"陶艺工作坊","notes":"","date":"2026-10-03","time":"09:15","amount":null,"kind":null,"category":null,"account":null,"timezone":"Asia/Shanghai"}</x:v>
      </x:c>
    </x:row>
    <x:row r="115" ht="132" customHeight="1">
      <x:c r="A115" s="7" t="str">
        <x:v>v2-memo-zh-07</x:v>
      </x:c>
      <x:c r="B115" s="7" t="str">
        <x:v>memo</x:v>
      </x:c>
      <x:c r="C115" s="7" t="str">
        <x:v>新增低优先级任务：4天后整理录音。</x:v>
      </x:c>
      <x:c r="D115" s="7" t="str">
        <x:v>draft</x:v>
      </x:c>
      <x:c r="E115" s="7" t="str">
        <x:v>memo</x:v>
      </x:c>
      <x:c r="F115" s="7" t="str">
        <x:v>draft</x:v>
      </x:c>
      <x:c r="G115" s="7" t="str">
        <x:v>memo</x:v>
      </x:c>
      <x:c r="H115" s="8" t="n">
        <x:v>1</x:v>
      </x:c>
      <x:c r="I115" s="8" t="n">
        <x:v>2</x:v>
      </x:c>
      <x:c r="J115" s="8" t="n">
        <x:v>2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{"status":"draft","module":"memo","title":{"containsAny":["录音"]},"date":"2026-10-06","priority":"normal"}</x:v>
      </x:c>
      <x:c r="P115" s="7" t="str">
        <x:v>{"id":"155955c3-32a2-4a85-ac6a-061fe146a979","title":"整理录音","notes":"低优先级","dueDate":"2026-10-06","timezone":"Asia/Shanghai","priority":"normal","dateText":"4天后","warnings":[]}</x:v>
      </x:c>
    </x:row>
    <x:row r="116" ht="132" customHeight="1">
      <x:c r="A116" s="7" t="str">
        <x:v>v2-finance-zh-20</x:v>
      </x:c>
      <x:c r="B116" s="7" t="str">
        <x:v>finance</x:v>
      </x:c>
      <x:c r="C116" s="7" t="str">
        <x:v>记一笔今天买耳机花了68元，微信付款。</x:v>
      </x:c>
      <x:c r="D116" s="7" t="str">
        <x:v>draft</x:v>
      </x:c>
      <x:c r="E116" s="7" t="str">
        <x:v>finance</x:v>
      </x:c>
      <x:c r="F116" s="7" t="str">
        <x:v>draft</x:v>
      </x:c>
      <x:c r="G116" s="7" t="str">
        <x:v>finance</x:v>
      </x:c>
      <x:c r="H116" s="8" t="n">
        <x:v>1</x:v>
      </x:c>
      <x:c r="I116" s="8" t="n">
        <x:v>6</x:v>
      </x:c>
      <x:c r="J116" s="8" t="n">
        <x:v>6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{"status":"draft","module":"finance","title":{"containsAny":["耳机"]},"amount":"68","account":"WeChat","kind":"expense","date":"2026-10-02","category":"Shopping"}</x:v>
      </x:c>
      <x:c r="P116" s="7" t="str">
        <x:v>{"id":"c0d48462-34d3-4a01-951d-d8a7ef067025","title":"耳机","notes":"","date":"2026-10-02","time":null,"amount":"68","kind":"expense","category":"Shopping","account":"WeChat","timezone":"Asia/Shanghai"}</x:v>
      </x:c>
    </x:row>
    <x:row r="117" ht="132" customHeight="1">
      <x:c r="A117" s="7" t="str">
        <x:v>v2-memo-zh-14</x:v>
      </x:c>
      <x:c r="B117" s="7" t="str">
        <x:v>memo</x:v>
      </x:c>
      <x:c r="C117" s="7" t="str">
        <x:v>添加待办检查三脚架，但不是今天。</x:v>
      </x:c>
      <x:c r="D117" s="7" t="str">
        <x:v>draft</x:v>
      </x:c>
      <x:c r="E117" s="7" t="str">
        <x:v>memo</x:v>
      </x:c>
      <x:c r="F117" s="7" t="str">
        <x:v>draft</x:v>
      </x:c>
      <x:c r="G117" s="7" t="str">
        <x:v>memo</x:v>
      </x:c>
      <x:c r="H117" s="8" t="n">
        <x:v>1</x:v>
      </x:c>
      <x:c r="I117" s="8" t="n">
        <x:v>2</x:v>
      </x:c>
      <x:c r="J117" s="8" t="n">
        <x:v>2</x:v>
      </x:c>
      <x:c r="K117" s="8" t="n">
        <x:v>1</x:v>
      </x:c>
      <x:c r="L117" s="8" t="n">
        <x:v>1</x:v>
      </x:c>
      <x:c r="M117" s="8" t="n">
        <x:v>1</x:v>
      </x:c>
      <x:c r="N117" s="7" t="str"/>
      <x:c r="O117" s="7" t="str">
        <x:v>{"status":"draft","module":"memo","title":{"containsAny":["三脚架"]},"date":null,"priority":null}</x:v>
      </x:c>
      <x:c r="P117" s="7" t="str">
        <x:v>{"id":"da04be80-244a-4cea-a3ae-a9d4a3356f7a","title":"添加待办检查三脚架","notes":"但不是今天","dueDate":null,"timezone":"Asia/Shanghai","priority":null,"dateText":"添加待办检查三脚架，但不是今天。","warnings":["date_needs_review","priority_missing"]}</x:v>
      </x:c>
    </x:row>
    <x:row r="118" ht="132" customHeight="1">
      <x:c r="A118" s="7" t="str">
        <x:v>v2-finance-zh-07</x:v>
      </x:c>
      <x:c r="B118" s="7" t="str">
        <x:v>finance</x:v>
      </x:c>
      <x:c r="C118" s="7" t="str">
        <x:v>记一笔今天买鞋支出154元，信用卡支付。</x:v>
      </x:c>
      <x:c r="D118" s="7" t="str">
        <x:v>draft</x:v>
      </x:c>
      <x:c r="E118" s="7" t="str">
        <x:v>finance</x:v>
      </x:c>
      <x:c r="F118" s="7" t="str">
        <x:v>draft</x:v>
      </x:c>
      <x:c r="G118" s="7" t="str">
        <x:v>finance</x:v>
      </x:c>
      <x:c r="H118" s="8" t="n">
        <x:v>1</x:v>
      </x:c>
      <x:c r="I118" s="8" t="n">
        <x:v>6</x:v>
      </x:c>
      <x:c r="J118" s="8" t="n">
        <x:v>6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{"status":"draft","module":"finance","title":{"containsAny":["鞋"]},"amount":"154","account":"Credit Card","kind":"expense","date":"2026-10-02","category":"Shopping"}</x:v>
      </x:c>
      <x:c r="P118" s="7" t="str">
        <x:v>{"id":"2f78a8d3-79bf-496f-a10c-d8a184fad971","title":"买鞋","notes":"154元","date":"2026-10-02","time":null,"amount":"154","kind":"expense","category":"Shopping","account":"Credit Card","timezone":"Asia/Shanghai"}</x:v>
      </x:c>
    </x:row>
    <x:row r="119" ht="132" customHeight="1">
      <x:c r="A119" s="7" t="str">
        <x:v>v2-schedule-zh-04</x:v>
      </x:c>
      <x:c r="B119" s="7" t="str">
        <x:v>schedule</x:v>
      </x:c>
      <x:c r="C119" s="7" t="str">
        <x:v>安排下周六上午10点参观博物馆。</x:v>
      </x:c>
      <x:c r="D119" s="7" t="str">
        <x:v>draft</x:v>
      </x:c>
      <x:c r="E119" s="7" t="str">
        <x:v>schedule</x:v>
      </x:c>
      <x:c r="F119" s="7" t="str">
        <x:v>draft</x:v>
      </x:c>
      <x:c r="G119" s="7" t="str">
        <x:v>schedule</x:v>
      </x:c>
      <x:c r="H119" s="8" t="n">
        <x:v>1</x:v>
      </x:c>
      <x:c r="I119" s="8" t="n">
        <x:v>2</x:v>
      </x:c>
      <x:c r="J119" s="8" t="n">
        <x:v>2</x:v>
      </x:c>
      <x:c r="K119" s="8" t="n">
        <x:v>1</x:v>
      </x:c>
      <x:c r="L119" s="8" t="n">
        <x:v>1</x:v>
      </x:c>
      <x:c r="M119" s="8" t="n">
        <x:v>1</x:v>
      </x:c>
      <x:c r="N119" s="7" t="str"/>
      <x:c r="O119" s="7" t="str">
        <x:v>{"status":"draft","module":"schedule","title":{"containsAny":["博物馆"]},"date":"2026-10-10","time":"10:00"}</x:v>
      </x:c>
      <x:c r="P119" s="7" t="str">
        <x:v>{"id":"9c08a58d-e012-48f2-98ad-dc91fc8c4e84","title":"参观博物馆","notes":"","date":"2026-10-10","time":"10:00","amount":null,"kind":null,"category":null,"account":null,"timezone":"Asia/Shanghai"}</x:v>
      </x:c>
    </x:row>
    <x:row r="120" ht="132" customHeight="1">
      <x:c r="A120" s="7" t="str">
        <x:v>v2-health-zh-18</x:v>
      </x:c>
      <x:c r="B120" s="7" t="str">
        <x:v>health</x:v>
      </x:c>
      <x:c r="C120" s="7" t="str">
        <x:v>我需要应用使用看板，不是记账。</x:v>
      </x:c>
      <x:c r="D120" s="7" t="str">
        <x:v>draft</x:v>
      </x:c>
      <x:c r="E120" s="7" t="str">
        <x:v>health</x:v>
      </x:c>
      <x:c r="F120" s="7" t="str">
        <x:v>draft</x:v>
      </x:c>
      <x:c r="G120" s="7" t="str">
        <x:v>health</x:v>
      </x:c>
      <x:c r="H120" s="8" t="n">
        <x:v>1</x:v>
      </x:c>
      <x:c r="I120" s="8" t="n">
        <x:v>0</x:v>
      </x:c>
      <x:c r="J120" s="8" t="n">
        <x:v>0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{"status":"draft","module":"health"}</x:v>
      </x:c>
      <x:c r="P120" s="7" t="str">
        <x:v>{"id":"e378e90a-8c8c-4966-bd97-aba1ba1a860a","title":"查看手机使用情况","notes":"","date":null,"time":null,"amount":null,"kind":null,"category":null,"account":null,"timezone":"Asia/Shanghai"}</x:v>
      </x:c>
    </x:row>
    <x:row r="121" ht="132" customHeight="1">
      <x:c r="A121" s="7" t="str">
        <x:v>v2-memo-zh-01</x:v>
      </x:c>
      <x:c r="B121" s="7" t="str">
        <x:v>memo</x:v>
      </x:c>
      <x:c r="C121" s="7" t="str">
        <x:v>新增待办：明天校对天文海报，优先级高。</x:v>
      </x:c>
      <x:c r="D121" s="7" t="str">
        <x:v>draft</x:v>
      </x:c>
      <x:c r="E121" s="7" t="str">
        <x:v>memo</x:v>
      </x:c>
      <x:c r="F121" s="7" t="str">
        <x:v>draft</x:v>
      </x:c>
      <x:c r="G121" s="7" t="str">
        <x:v>memo</x:v>
      </x:c>
      <x:c r="H121" s="8" t="n">
        <x:v>1</x:v>
      </x:c>
      <x:c r="I121" s="8" t="n">
        <x:v>2</x:v>
      </x:c>
      <x:c r="J121" s="8" t="n">
        <x:v>2</x:v>
      </x:c>
      <x:c r="K121" s="8" t="n">
        <x:v>1</x:v>
      </x:c>
      <x:c r="L121" s="8" t="n">
        <x:v>1</x:v>
      </x:c>
      <x:c r="M121" s="8" t="n">
        <x:v>1</x:v>
      </x:c>
      <x:c r="N121" s="7" t="str"/>
      <x:c r="O121" s="7" t="str">
        <x:v>{"status":"draft","module":"memo","title":{"containsAny":["天文","海报"]},"date":"2026-10-03","priority":"important"}</x:v>
      </x:c>
      <x:c r="P121" s="7" t="str">
        <x:v>{"id":"10d590e3-43df-4c66-a4b7-c94bab1181b7","title":"校对天文海报","notes":"","dueDate":"2026-10-03","timezone":"Asia/Shanghai","priority":"important","dateText":"明天","warnings":[]}</x:v>
      </x:c>
    </x:row>
    <x:row r="122" ht="132" customHeight="1">
      <x:c r="A122" s="7" t="str">
        <x:v>v2-health-zh-28</x:v>
      </x:c>
      <x:c r="B122" s="7" t="str">
        <x:v>health</x:v>
      </x:c>
      <x:c r="C122" s="7" t="str">
        <x:v>查看手机使用情况，再添加洗窗帘的任务。</x:v>
      </x:c>
      <x:c r="D122" s="7" t="str">
        <x:v>clarification</x:v>
      </x:c>
      <x:c r="E122" s="7" t="str"/>
      <x:c r="F122" s="7" t="str">
        <x:v>clarification</x:v>
      </x:c>
      <x:c r="G122" s="7" t="str"/>
      <x:c r="H122" s="8" t="n">
        <x:v>1</x:v>
      </x:c>
      <x:c r="I122" s="8" t="n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0</x:v>
      </x:c>
      <x:c r="N122" s="7" t="str"/>
      <x:c r="O122" s="7" t="str">
        <x:v>{"status":"clarification","module":null}</x:v>
      </x:c>
      <x:c r="P122" s="7" t="str">
        <x:v>{"status":"clarification","reason":"multiple_tasks","module":null,"draft":null,"fields":null}</x:v>
      </x:c>
    </x:row>
    <x:row r="123" ht="132" customHeight="1">
      <x:c r="A123" s="7" t="str">
        <x:v>v2-memo-zh-04</x:v>
      </x:c>
      <x:c r="B123" s="7" t="str">
        <x:v>memo</x:v>
      </x:c>
      <x:c r="C123" s="7" t="str">
        <x:v>记个待办，清洁相机镜头。</x:v>
      </x:c>
      <x:c r="D123" s="7" t="str">
        <x:v>draft</x:v>
      </x:c>
      <x:c r="E123" s="7" t="str">
        <x:v>memo</x:v>
      </x:c>
      <x:c r="F123" s="7" t="str">
        <x:v>draft</x:v>
      </x:c>
      <x:c r="G123" s="7" t="str">
        <x:v>memo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{"status":"draft","module":"memo","title":{"containsAny":["相机","镜头"]},"date":null,"priority":null}</x:v>
      </x:c>
      <x:c r="P123" s="7" t="str">
        <x:v>{"id":"433116ae-f854-4041-985f-bb6321dbdefc","title":"清洁相机镜头","notes":"","dueDate":null,"timezone":"Asia/Shanghai","priority":null,"dateText":null,"warnings":["date_missing","priority_missing"]}</x:v>
      </x:c>
    </x:row>
  </x:sheetData>
  <x:conditionalFormatting sqref="H4:H123">
    <x:cfRule type="cellIs" dxfId="0" priority="1" operator="equal">
      <x:formula>0</x:formula>
    </x:cfRule>
  </x:conditionalFormatting>
  <x:conditionalFormatting sqref="K4:K123"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c0a541062945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6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4" hidden="0" customWidth="1"/>
    <x:col min="15" max="15" width="82" hidden="0" customWidth="1"/>
    <x:col min="16" max="16" width="82" hidden="0" customWidth="1"/>
  </x:cols>
  <x:sheetData>
    <x:row r="1">
      <x:c r="A1" s="2" t="str">
        <x:v>English120 逐条结果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32" customHeight="1">
      <x:c r="A3" s="5" t="str">
        <x:v>用例ID</x:v>
      </x:c>
      <x:c r="B3" s="5" t="str">
        <x:v>模块组</x:v>
      </x:c>
      <x:c r="C3" s="5" t="str">
        <x:v>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 / 错误</x:v>
      </x:c>
      <x:c r="O3" s="5" t="str">
        <x:v>预期字段</x:v>
      </x:c>
      <x:c r="P3" s="5" t="str">
        <x:v>实际字段</x:v>
      </x:c>
    </x:row>
    <x:row r="4" ht="132" customHeight="1">
      <x:c r="A4" s="7" t="str">
        <x:v>v2-memo-en-29</x:v>
      </x:c>
      <x:c r="B4" s="7" t="str">
        <x:v>memo</x:v>
      </x:c>
      <x:c r="C4" s="7" t="str">
        <x:v>Create a note about the greenhouse and schedule a rehearsal tomorrow.</x:v>
      </x:c>
      <x:c r="D4" s="7" t="str">
        <x:v>clarification</x:v>
      </x:c>
      <x:c r="E4" s="7" t="str"/>
      <x:c r="F4" s="7" t="str">
        <x:v>clarification</x:v>
      </x:c>
      <x:c r="G4" s="7" t="str"/>
      <x:c r="H4" s="8" t="n">
        <x:v>1</x:v>
      </x:c>
      <x:c r="I4" s="8" t="n">
        <x:v>0</x:v>
      </x:c>
      <x:c r="J4" s="8" t="n">
        <x:v>0</x:v>
      </x:c>
      <x:c r="K4" s="8" t="n">
        <x:v>1</x:v>
      </x:c>
      <x:c r="L4" s="8" t="n">
        <x:v>0</x:v>
      </x:c>
      <x:c r="M4" s="8" t="n">
        <x:v>0</x:v>
      </x:c>
      <x:c r="N4" s="7" t="str"/>
      <x:c r="O4" s="7" t="str">
        <x:v>{"status":"clarification","module":null}</x:v>
      </x:c>
      <x:c r="P4" s="7" t="str">
        <x:v>{"status":"clarification","reason":"multiple_tasks","module":null,"draft":null,"fields":null}</x:v>
      </x:c>
    </x:row>
    <x:row r="5" ht="132" customHeight="1">
      <x:c r="A5" s="7" t="str">
        <x:v>v2-finance-en-16</x:v>
      </x:c>
      <x:c r="B5" s="7" t="str">
        <x:v>finance</x:v>
      </x:c>
      <x:c r="C5" s="7" t="str">
        <x:v>Record a pencil purchase for -23 yuan today using cash.</x:v>
      </x:c>
      <x:c r="D5" s="7" t="str">
        <x:v>draft</x:v>
      </x:c>
      <x:c r="E5" s="7" t="str">
        <x:v>finance</x:v>
      </x:c>
      <x:c r="F5" s="7" t="str">
        <x:v>draft</x:v>
      </x:c>
      <x:c r="G5" s="7" t="str">
        <x:v>finance</x:v>
      </x:c>
      <x:c r="H5" s="8" t="n">
        <x:v>1</x:v>
      </x:c>
      <x:c r="I5" s="8" t="n">
        <x:v>6</x:v>
      </x:c>
      <x:c r="J5" s="8" t="n">
        <x:v>6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{"status":"draft","module":"finance","title":{"containsAny":["pencil"]},"amount":null,"account":"Cash","kind":"expense","date":"2026-10-02","category":"Shopping"}</x:v>
      </x:c>
      <x:c r="P5" s="7" t="str">
        <x:v>{"id":"4c51b7c3-aecd-4661-9c61-a1915dd36141","title":"Pencil","notes":"-23 yuan","date":"2026-10-02","time":null,"amount":null,"kind":"expense","category":"Shopping","account":"Cash","timezone":"America/Los_Angeles"}</x:v>
      </x:c>
    </x:row>
    <x:row r="6" ht="132" customHeight="1">
      <x:c r="A6" s="7" t="str">
        <x:v>v2-schedule-en-01</x:v>
      </x:c>
      <x:c r="B6" s="7" t="str">
        <x:v>schedule</x:v>
      </x:c>
      <x:c r="C6" s="7" t="str">
        <x:v>Schedule a ceramics workshop tomorrow at 09:15.</x:v>
      </x:c>
      <x:c r="D6" s="7" t="str">
        <x:v>draft</x:v>
      </x:c>
      <x:c r="E6" s="7" t="str">
        <x:v>schedule</x:v>
      </x:c>
      <x:c r="F6" s="7" t="str">
        <x:v>draft</x:v>
      </x:c>
      <x:c r="G6" s="7" t="str">
        <x:v>schedule</x:v>
      </x:c>
      <x:c r="H6" s="8" t="n">
        <x:v>1</x:v>
      </x:c>
      <x:c r="I6" s="8" t="n">
        <x:v>2</x:v>
      </x:c>
      <x:c r="J6" s="8" t="n">
        <x:v>2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{"status":"draft","module":"schedule","title":{"containsAny":["ceramics","workshop"]},"date":"2026-10-03","time":"09:15"}</x:v>
      </x:c>
      <x:c r="P6" s="7" t="str">
        <x:v>{"id":"632aa4c2-4bf6-49c2-948f-889f95081aef","title":"Ceramics Workshop","notes":"","date":"2026-10-03","time":"09:15","amount":null,"kind":null,"category":null,"account":null,"timezone":"America/Los_Angeles"}</x:v>
      </x:c>
    </x:row>
    <x:row r="7" ht="132" customHeight="1">
      <x:c r="A7" s="7" t="str">
        <x:v>v2-schedule-en-02</x:v>
      </x:c>
      <x:c r="B7" s="7" t="str">
        <x:v>schedule</x:v>
      </x:c>
      <x:c r="C7" s="7" t="str">
        <x:v>Add a flute lesson next Monday at 4pm.</x:v>
      </x:c>
      <x:c r="D7" s="7" t="str">
        <x:v>draft</x:v>
      </x:c>
      <x:c r="E7" s="7" t="str">
        <x:v>schedule</x:v>
      </x:c>
      <x:c r="F7" s="7" t="str">
        <x:v>draft</x:v>
      </x:c>
      <x:c r="G7" s="7" t="str">
        <x:v>schedule</x:v>
      </x:c>
      <x:c r="H7" s="8" t="n">
        <x:v>1</x:v>
      </x:c>
      <x:c r="I7" s="8" t="n">
        <x:v>2</x:v>
      </x:c>
      <x:c r="J7" s="8" t="n">
        <x:v>2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{"status":"draft","module":"schedule","title":{"containsAny":["flute"]},"date":"2026-10-05","time":"16:00"}</x:v>
      </x:c>
      <x:c r="P7" s="7" t="str">
        <x:v>{"id":"9887cc11-1418-41a6-8aa2-c3feaeeed799","title":"Flute lesson","notes":"","date":"2026-10-05","time":"16:00","amount":null,"kind":null,"category":null,"account":null,"timezone":"America/Los_Angeles"}</x:v>
      </x:c>
    </x:row>
    <x:row r="8" ht="132" customHeight="1">
      <x:c r="A8" s="7" t="str">
        <x:v>v2-memo-en-23</x:v>
      </x:c>
      <x:c r="B8" s="7" t="str">
        <x:v>memo</x:v>
      </x:c>
      <x:c r="C8" s="7" t="str">
        <x:v>Add a task to export the meeting minutes, important.</x:v>
      </x:c>
      <x:c r="D8" s="7" t="str">
        <x:v>draft</x:v>
      </x:c>
      <x:c r="E8" s="7" t="str">
        <x:v>memo</x:v>
      </x:c>
      <x:c r="F8" s="7" t="str">
        <x:v>draft</x:v>
      </x:c>
      <x:c r="G8" s="7" t="str">
        <x:v>memo</x:v>
      </x:c>
      <x:c r="H8" s="8" t="n">
        <x:v>1</x:v>
      </x:c>
      <x:c r="I8" s="8" t="n">
        <x:v>2</x:v>
      </x:c>
      <x:c r="J8" s="8" t="n">
        <x:v>2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{"status":"draft","module":"memo","title":{"containsAny":["minutes"]},"priority":"important","date":null}</x:v>
      </x:c>
      <x:c r="P8" s="7" t="str">
        <x:v>{"id":"27ee14cd-e459-4e65-9ae4-e9b51ea7b752","title":"Export Meeting Minutes","notes":"important","dueDate":null,"timezone":"America/Los_Angeles","priority":"important","dateText":null,"warnings":["date_missing"]}</x:v>
      </x:c>
    </x:row>
    <x:row r="9" ht="132" customHeight="1">
      <x:c r="A9" s="7" t="str">
        <x:v>v2-schedule-en-03</x:v>
      </x:c>
      <x:c r="B9" s="7" t="str">
        <x:v>schedule</x:v>
      </x:c>
      <x:c r="C9" s="7" t="str">
        <x:v>Put the geography lecture this Friday at 14:05 in my calendar.</x:v>
      </x:c>
      <x:c r="D9" s="7" t="str">
        <x:v>draft</x:v>
      </x:c>
      <x:c r="E9" s="7" t="str">
        <x:v>schedule</x:v>
      </x:c>
      <x:c r="F9" s="7" t="str">
        <x:v>draft</x:v>
      </x:c>
      <x:c r="G9" s="7" t="str">
        <x:v>schedule</x:v>
      </x:c>
      <x:c r="H9" s="8" t="n">
        <x:v>1</x:v>
      </x:c>
      <x:c r="I9" s="8" t="n">
        <x:v>2</x:v>
      </x:c>
      <x:c r="J9" s="8" t="n">
        <x:v>2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{"status":"draft","module":"schedule","title":{"containsAny":["geography"]},"date":"2026-10-02","time":"14:05"}</x:v>
      </x:c>
      <x:c r="P9" s="7" t="str">
        <x:v>{"id":"f8002c00-528b-4115-9a2c-e8e27879b945","title":"Geography Lecture","notes":"","date":"2026-10-02","time":"14:05","amount":null,"kind":null,"category":null,"account":null,"timezone":"America/Los_Angeles"}</x:v>
      </x:c>
    </x:row>
    <x:row r="10" ht="132" customHeight="1">
      <x:c r="A10" s="7" t="str">
        <x:v>v2-schedule-en-30</x:v>
      </x:c>
      <x:c r="B10" s="7" t="str">
        <x:v>schedule</x:v>
      </x:c>
      <x:c r="C10" s="7" t="str">
        <x:v>Schedule a campus tour tomorrow and add a separate to-do to renew my passport.</x:v>
      </x:c>
      <x:c r="D10" s="7" t="str">
        <x:v>clarification</x:v>
      </x:c>
      <x:c r="E10" s="7" t="str"/>
      <x:c r="F10" s="7" t="str">
        <x:v>clarification</x:v>
      </x:c>
      <x:c r="G10" s="7" t="str"/>
      <x:c r="H10" s="8" t="n">
        <x:v>1</x:v>
      </x:c>
      <x:c r="I10" s="8" t="n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0</x:v>
      </x:c>
      <x:c r="N10" s="7" t="str"/>
      <x:c r="O10" s="7" t="str">
        <x:v>{"status":"clarification","module":null}</x:v>
      </x:c>
      <x:c r="P10" s="7" t="str">
        <x:v>{"status":"clarification","reason":"multiple_tasks","module":null,"draft":null,"fields":null}</x:v>
      </x:c>
    </x:row>
    <x:row r="11" ht="132" customHeight="1">
      <x:c r="A11" s="7" t="str">
        <x:v>v2-health-en-21</x:v>
      </x:c>
      <x:c r="B11" s="7" t="str">
        <x:v>health</x:v>
      </x:c>
      <x:c r="C11" s="7" t="str">
        <x:v>Show the app usage totals from last month.</x:v>
      </x:c>
      <x:c r="D11" s="7" t="str">
        <x:v>clarification</x:v>
      </x:c>
      <x:c r="E11" s="7" t="str"/>
      <x:c r="F11" s="7" t="str">
        <x:v>clarification</x:v>
      </x:c>
      <x:c r="G11" s="7" t="str"/>
      <x:c r="H11" s="8" t="n">
        <x:v>1</x:v>
      </x:c>
      <x:c r="I11" s="8" t="n">
        <x:v>0</x:v>
      </x:c>
      <x:c r="J11" s="8" t="n">
        <x:v>0</x:v>
      </x:c>
      <x:c r="K11" s="8" t="n">
        <x:v>1</x:v>
      </x:c>
      <x:c r="L11" s="8" t="n">
        <x:v>0</x:v>
      </x:c>
      <x:c r="M11" s="8" t="n">
        <x:v>0</x:v>
      </x:c>
      <x:c r="N11" s="7" t="str"/>
      <x:c r="O11" s="7" t="str">
        <x:v>{"status":"clarification","module":null}</x:v>
      </x:c>
      <x:c r="P11" s="7" t="str">
        <x:v>{"status":"clarification","reason":"health_today_only","module":null,"draft":null,"fields":null}</x:v>
      </x:c>
    </x:row>
    <x:row r="12" ht="132" customHeight="1">
      <x:c r="A12" s="7" t="str">
        <x:v>v2-memo-en-20</x:v>
      </x:c>
      <x:c r="B12" s="7" t="str">
        <x:v>memo</x:v>
      </x:c>
      <x:c r="C12" s="7" t="str">
        <x:v>Create a to-do to read chapter 12 of the optics book.</x:v>
      </x:c>
      <x:c r="D12" s="7" t="str">
        <x:v>draft</x:v>
      </x:c>
      <x:c r="E12" s="7" t="str">
        <x:v>memo</x:v>
      </x:c>
      <x:c r="F12" s="7" t="str">
        <x:v>draft</x:v>
      </x:c>
      <x:c r="G12" s="7" t="str">
        <x:v>memo</x:v>
      </x:c>
      <x:c r="H12" s="8" t="n">
        <x:v>1</x:v>
      </x:c>
      <x:c r="I12" s="8" t="n">
        <x:v>2</x:v>
      </x:c>
      <x:c r="J12" s="8" t="n">
        <x:v>2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{"status":"draft","module":"memo","title":{"containsAny":["optics","chapter"]},"date":null,"priority":null}</x:v>
      </x:c>
      <x:c r="P12" s="7" t="str">
        <x:v>{"id":"d6f6c6c7-f051-4ebc-bbfe-4c41b9151615","title":"Read chapter 12 of the optics book","notes":"","dueDate":null,"timezone":"America/Los_Angeles","priority":null,"dateText":null,"warnings":["date_missing","priority_missing"]}</x:v>
      </x:c>
    </x:row>
    <x:row r="13" ht="132" customHeight="1">
      <x:c r="A13" s="7" t="str">
        <x:v>v2-health-en-30</x:v>
      </x:c>
      <x:c r="B13" s="7" t="str">
        <x:v>health</x:v>
      </x:c>
      <x:c r="C13" s="7" t="str">
        <x:v>Show today's app usage and schedule a swimming lesson tomorrow.</x:v>
      </x:c>
      <x:c r="D13" s="7" t="str">
        <x:v>clarification</x:v>
      </x:c>
      <x:c r="E13" s="7" t="str"/>
      <x:c r="F13" s="7" t="str">
        <x:v>clarification</x:v>
      </x:c>
      <x:c r="G13" s="7" t="str"/>
      <x:c r="H13" s="8" t="n">
        <x:v>1</x:v>
      </x:c>
      <x:c r="I13" s="8" t="n">
        <x:v>0</x:v>
      </x:c>
      <x:c r="J13" s="8" t="n">
        <x:v>0</x:v>
      </x:c>
      <x:c r="K13" s="8" t="n">
        <x:v>1</x:v>
      </x:c>
      <x:c r="L13" s="8" t="n">
        <x:v>0</x:v>
      </x:c>
      <x:c r="M13" s="8" t="n">
        <x:v>0</x:v>
      </x:c>
      <x:c r="N13" s="7" t="str"/>
      <x:c r="O13" s="7" t="str">
        <x:v>{"status":"clarification","module":null}</x:v>
      </x:c>
      <x:c r="P13" s="7" t="str">
        <x:v>{"status":"clarification","reason":"multiple_tasks","module":null,"draft":null,"fields":null}</x:v>
      </x:c>
    </x:row>
    <x:row r="14" ht="132" customHeight="1">
      <x:c r="A14" s="7" t="str">
        <x:v>v2-finance-en-06</x:v>
      </x:c>
      <x:c r="B14" s="7" t="str">
        <x:v>finance</x:v>
      </x:c>
      <x:c r="C14" s="7" t="str">
        <x:v>Record a gift of 88 yuan received today in WeChat.</x:v>
      </x:c>
      <x:c r="D14" s="7" t="str">
        <x:v>draft</x:v>
      </x:c>
      <x:c r="E14" s="7" t="str">
        <x:v>finance</x:v>
      </x:c>
      <x:c r="F14" s="7" t="str">
        <x:v>draft</x:v>
      </x:c>
      <x:c r="G14" s="7" t="str">
        <x:v>finance</x:v>
      </x:c>
      <x:c r="H14" s="8" t="n">
        <x:v>1</x:v>
      </x:c>
      <x:c r="I14" s="8" t="n">
        <x:v>6</x:v>
      </x:c>
      <x:c r="J14" s="8" t="n">
        <x:v>6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{"status":"draft","module":"finance","title":{"containsAny":["gift"]},"amount":"88","account":"WeChat","kind":"income","date":"2026-10-02","category":"Gift"}</x:v>
      </x:c>
      <x:c r="P14" s="7" t="str">
        <x:v>{"id":"592fbde4-fe0c-445d-b074-18bc95230ac6","title":"Gift","notes":"","date":"2026-10-02","time":null,"amount":"88","kind":"income","category":"Gift","account":"WeChat","timezone":"America/Los_Angeles"}</x:v>
      </x:c>
    </x:row>
    <x:row r="15" ht="132" customHeight="1">
      <x:c r="A15" s="7" t="str">
        <x:v>v2-finance-en-01</x:v>
      </x:c>
      <x:c r="B15" s="7" t="str">
        <x:v>finance</x:v>
      </x:c>
      <x:c r="C15" s="7" t="str">
        <x:v>Log 42.75 yuan for a sandwich today, paid with Alipay.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6</x:v>
      </x:c>
      <x:c r="J15" s="8" t="n">
        <x:v>6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{"status":"draft","module":"finance","title":{"containsAny":["sandwich"]},"amount":"42.75","account":"Alipay","kind":"expense","date":"2026-10-02","category":"Food &amp; Drinks"}</x:v>
      </x:c>
      <x:c r="P15" s="7" t="str">
        <x:v>{"id":"2ebe936b-e164-47c3-a3b1-dbd8605c2e76","title":"Sandwich","notes":"","date":"2026-10-02","time":null,"amount":"42.75","kind":"expense","category":"Food &amp; Drinks","account":"Alipay","timezone":"America/Los_Angeles"}</x:v>
      </x:c>
    </x:row>
    <x:row r="16" ht="132" customHeight="1">
      <x:c r="A16" s="7" t="str">
        <x:v>v2-finance-en-07</x:v>
      </x:c>
      <x:c r="B16" s="7" t="str">
        <x:v>finance</x:v>
      </x:c>
      <x:c r="C16" s="7" t="str">
        <x:v>Log 154 yuan spent on shoes today, using a credit card.</x:v>
      </x:c>
      <x:c r="D16" s="7" t="str">
        <x:v>draft</x:v>
      </x:c>
      <x:c r="E16" s="7" t="str">
        <x:v>finance</x:v>
      </x:c>
      <x:c r="F16" s="7" t="str">
        <x:v>draft</x:v>
      </x:c>
      <x:c r="G16" s="7" t="str">
        <x:v>finance</x:v>
      </x:c>
      <x:c r="H16" s="8" t="n">
        <x:v>1</x:v>
      </x:c>
      <x:c r="I16" s="8" t="n">
        <x:v>6</x:v>
      </x:c>
      <x:c r="J16" s="8" t="n">
        <x:v>6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{"status":"draft","module":"finance","title":{"containsAny":["shoes"]},"amount":"154","account":"Credit Card","kind":"expense","date":"2026-10-02","category":"Shopping"}</x:v>
      </x:c>
      <x:c r="P16" s="7" t="str">
        <x:v>{"id":"6cae1476-5674-440f-aab4-86834b3d5e40","title":"Shoes","notes":"","date":"2026-10-02","time":null,"amount":"154","kind":"expense","category":"Shopping","account":"Credit Card","timezone":"America/Los_Angeles"}</x:v>
      </x:c>
    </x:row>
    <x:row r="17" ht="132" customHeight="1">
      <x:c r="A17" s="7" t="str">
        <x:v>v2-finance-en-22</x:v>
      </x:c>
      <x:c r="B17" s="7" t="str">
        <x:v>finance</x:v>
      </x:c>
      <x:c r="C17" s="7" t="str">
        <x:v>Record 33 yuan paid to the laundromat today in cash.</x:v>
      </x:c>
      <x:c r="D17" s="7" t="str">
        <x:v>draft</x:v>
      </x:c>
      <x:c r="E17" s="7" t="str">
        <x:v>finance</x:v>
      </x:c>
      <x:c r="F17" s="7" t="str">
        <x:v>draft</x:v>
      </x:c>
      <x:c r="G17" s="7" t="str">
        <x:v>finance</x:v>
      </x:c>
      <x:c r="H17" s="8" t="n">
        <x:v>1</x:v>
      </x:c>
      <x:c r="I17" s="8" t="n">
        <x:v>6</x:v>
      </x:c>
      <x:c r="J17" s="8" t="n">
        <x:v>6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{"status":"draft","module":"finance","title":{"containsAny":["laundr"]},"amount":"33","account":"Cash","kind":"expense","date":"2026-10-02","category":"Others"}</x:v>
      </x:c>
      <x:c r="P17" s="7" t="str">
        <x:v>{"id":"32555e9f-be4b-4d2c-a7ae-c8b822458c9b","title":"Laundromat Payment","notes":"33 yuan","date":"2026-10-02","time":null,"amount":"33","kind":"expense","category":"Others","account":"Cash","timezone":"America/Los_Angeles"}</x:v>
      </x:c>
    </x:row>
    <x:row r="18" ht="132" customHeight="1">
      <x:c r="A18" s="7" t="str">
        <x:v>v2-health-en-23</x:v>
      </x:c>
      <x:c r="B18" s="7" t="str">
        <x:v>health</x:v>
      </x:c>
      <x:c r="C18" s="7" t="str">
        <x:v>Record a 2 kilometre swim in Health.</x:v>
      </x:c>
      <x:c r="D18" s="7" t="str">
        <x:v>clarification</x:v>
      </x:c>
      <x:c r="E18" s="7" t="str"/>
      <x:c r="F18" s="7" t="str">
        <x:v>clarification</x:v>
      </x:c>
      <x:c r="G18" s="7" t="str"/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0</x:v>
      </x:c>
      <x:c r="M18" s="8" t="n">
        <x:v>0</x:v>
      </x:c>
      <x:c r="N18" s="7" t="str"/>
      <x:c r="O18" s="7" t="str">
        <x:v>{"status":"clarification","module":null}</x:v>
      </x:c>
      <x:c r="P18" s="7" t="str">
        <x:v>{"status":"clarification","reason":"health_unsupported","module":null,"draft":null,"fields":null}</x:v>
      </x:c>
    </x:row>
    <x:row r="19" ht="132" customHeight="1">
      <x:c r="A19" s="7" t="str">
        <x:v>v2-health-en-11</x:v>
      </x:c>
      <x:c r="B19" s="7" t="str">
        <x:v>health</x:v>
      </x:c>
      <x:c r="C19" s="7" t="str">
        <x:v>Show my app usage; I am reviewing my study habits.</x:v>
      </x:c>
      <x:c r="D19" s="7" t="str">
        <x:v>draft</x:v>
      </x:c>
      <x:c r="E19" s="7" t="str">
        <x:v>health</x:v>
      </x:c>
      <x:c r="F19" s="7" t="str">
        <x:v>draft</x:v>
      </x:c>
      <x:c r="G19" s="7" t="str">
        <x:v>health</x:v>
      </x:c>
      <x:c r="H19" s="8" t="n">
        <x:v>1</x:v>
      </x:c>
      <x:c r="I19" s="8" t="n">
        <x:v>0</x:v>
      </x:c>
      <x:c r="J19" s="8" t="n">
        <x:v>0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{"status":"draft","module":"health"}</x:v>
      </x:c>
      <x:c r="P19" s="7" t="str">
        <x:v>{"id":"f7d5e941-172f-4a6a-8bac-e85c79c2633c","title":"View phone usage","notes":"","date":null,"time":null,"amount":null,"kind":null,"category":null,"account":null,"timezone":"America/Los_Angeles"}</x:v>
      </x:c>
    </x:row>
    <x:row r="20" ht="132" customHeight="1">
      <x:c r="A20" s="7" t="str">
        <x:v>v2-health-en-16</x:v>
      </x:c>
      <x:c r="B20" s="7" t="str">
        <x:v>health</x:v>
      </x:c>
      <x:c r="C20" s="7" t="str">
        <x:v>Please display the phone usage page in Health.</x:v>
      </x:c>
      <x:c r="D20" s="7" t="str">
        <x:v>draft</x:v>
      </x:c>
      <x:c r="E20" s="7" t="str">
        <x:v>health</x:v>
      </x:c>
      <x:c r="F20" s="7" t="str">
        <x:v>draft</x:v>
      </x:c>
      <x:c r="G20" s="7" t="str">
        <x:v>health</x:v>
      </x:c>
      <x:c r="H20" s="8" t="n">
        <x:v>1</x:v>
      </x:c>
      <x:c r="I20" s="8" t="n">
        <x:v>0</x:v>
      </x:c>
      <x:c r="J20" s="8" t="n">
        <x:v>0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{"status":"draft","module":"health"}</x:v>
      </x:c>
      <x:c r="P20" s="7" t="str">
        <x:v>{"id":"d1defcfb-d8cb-465c-a15d-05b11b582fd2","title":"View phone usage","notes":"","date":null,"time":null,"amount":null,"kind":null,"category":null,"account":null,"timezone":"America/Los_Angeles"}</x:v>
      </x:c>
    </x:row>
    <x:row r="21" ht="132" customHeight="1">
      <x:c r="A21" s="7" t="str">
        <x:v>v2-memo-en-18</x:v>
      </x:c>
      <x:c r="B21" s="7" t="str">
        <x:v>memo</x:v>
      </x:c>
      <x:c r="C21" s="7" t="str">
        <x:v>Add a task to check the references in 10 days.</x:v>
      </x:c>
      <x:c r="D21" s="7" t="str">
        <x:v>draft</x:v>
      </x:c>
      <x:c r="E21" s="7" t="str">
        <x:v>memo</x:v>
      </x:c>
      <x:c r="F21" s="7" t="str">
        <x:v>draft</x:v>
      </x:c>
      <x:c r="G21" s="7" t="str">
        <x:v>memo</x:v>
      </x:c>
      <x:c r="H21" s="8" t="n">
        <x:v>1</x:v>
      </x:c>
      <x:c r="I21" s="8" t="n">
        <x:v>2</x:v>
      </x:c>
      <x:c r="J21" s="8" t="n">
        <x:v>2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{"status":"draft","module":"memo","title":{"containsAny":["reference"]},"date":"2026-10-12","priority":null}</x:v>
      </x:c>
      <x:c r="P21" s="7" t="str">
        <x:v>{"id":"6f8f9bef-2ea7-4fba-99e4-53820e25eb2d","title":"Check references","notes":"","dueDate":"2026-10-12","timezone":"America/Los_Angeles","priority":null,"dateText":"in 10 days","warnings":["priority_missing"]}</x:v>
      </x:c>
    </x:row>
    <x:row r="22" ht="132" customHeight="1">
      <x:c r="A22" s="7" t="str">
        <x:v>v2-memo-en-30</x:v>
      </x:c>
      <x:c r="B22" s="7" t="str">
        <x:v>memo</x:v>
      </x:c>
      <x:c r="C22" s="7" t="str">
        <x:v>Add a task to print the survey and show my screen time.</x:v>
      </x:c>
      <x:c r="D22" s="7" t="str">
        <x:v>clarification</x:v>
      </x:c>
      <x:c r="E22" s="7" t="str"/>
      <x:c r="F22" s="7" t="str">
        <x:v>clarification</x:v>
      </x:c>
      <x:c r="G22" s="7" t="str"/>
      <x:c r="H22" s="8" t="n">
        <x:v>1</x:v>
      </x:c>
      <x:c r="I22" s="8" t="n">
        <x:v>0</x:v>
      </x:c>
      <x:c r="J22" s="8" t="n">
        <x:v>0</x:v>
      </x:c>
      <x:c r="K22" s="8" t="n">
        <x:v>1</x:v>
      </x:c>
      <x:c r="L22" s="8" t="n">
        <x:v>0</x:v>
      </x:c>
      <x:c r="M22" s="8" t="n">
        <x:v>0</x:v>
      </x:c>
      <x:c r="N22" s="7" t="str"/>
      <x:c r="O22" s="7" t="str">
        <x:v>{"status":"clarification","module":null}</x:v>
      </x:c>
      <x:c r="P22" s="7" t="str">
        <x:v>{"status":"clarification","reason":"multiple_tasks","module":null,"draft":null,"fields":null}</x:v>
      </x:c>
    </x:row>
    <x:row r="23" ht="132" customHeight="1">
      <x:c r="A23" s="7" t="str">
        <x:v>v2-finance-en-18</x:v>
      </x:c>
      <x:c r="B23" s="7" t="str">
        <x:v>finance</x:v>
      </x:c>
      <x:c r="C23" s="7" t="str">
        <x:v>Record an expense of 39 yuan today.</x:v>
      </x:c>
      <x:c r="D23" s="7" t="str">
        <x:v>draft</x:v>
      </x:c>
      <x:c r="E23" s="7" t="str">
        <x:v>finance</x:v>
      </x:c>
      <x:c r="F23" s="7" t="str">
        <x:v>draft</x:v>
      </x:c>
      <x:c r="G23" s="7" t="str">
        <x:v>finance</x:v>
      </x:c>
      <x:c r="H23" s="8" t="n">
        <x:v>1</x:v>
      </x:c>
      <x:c r="I23" s="8" t="n">
        <x:v>5</x:v>
      </x:c>
      <x:c r="J23" s="8" t="n">
        <x:v>5</x:v>
      </x:c>
      <x:c r="K23" s="8" t="n">
        <x:v>1</x:v>
      </x:c>
      <x:c r="L23" s="8" t="n">
        <x:v>1</x:v>
      </x:c>
      <x:c r="M23" s="8" t="n">
        <x:v>1</x:v>
      </x:c>
      <x:c r="N23" s="7" t="str"/>
      <x:c r="O23" s="7" t="str">
        <x:v>{"status":"draft","module":"finance","title":{"containsAny":["expense","39"]},"amount":"39","account":null,"kind":"expense","date":"2026-10-02"}</x:v>
      </x:c>
      <x:c r="P23" s="7" t="str">
        <x:v>{"id":"625975ff-5d0c-4d22-91ba-7fb528082cf2","title":"an expense of 39 yuan today.","notes":"39 yuan","date":"2026-10-02","time":null,"amount":"39","kind":"expense","category":"Others","account":null,"timezone":"America/Los_Angeles"}</x:v>
      </x:c>
    </x:row>
    <x:row r="24" ht="132" customHeight="1">
      <x:c r="A24" s="7" t="str">
        <x:v>v2-health-en-07</x:v>
      </x:c>
      <x:c r="B24" s="7" t="str">
        <x:v>health</x:v>
      </x:c>
      <x:c r="C24" s="7" t="str">
        <x:v>Show the total duration of phone use today.</x:v>
      </x:c>
      <x:c r="D24" s="7" t="str">
        <x:v>draft</x:v>
      </x:c>
      <x:c r="E24" s="7" t="str">
        <x:v>health</x:v>
      </x:c>
      <x:c r="F24" s="7" t="str">
        <x:v>draft</x:v>
      </x:c>
      <x:c r="G24" s="7" t="str">
        <x:v>health</x:v>
      </x:c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1</x:v>
      </x:c>
      <x:c r="M24" s="8" t="n">
        <x:v>1</x:v>
      </x:c>
      <x:c r="N24" s="7" t="str"/>
      <x:c r="O24" s="7" t="str">
        <x:v>{"status":"draft","module":"health"}</x:v>
      </x:c>
      <x:c r="P24" s="7" t="str">
        <x:v>{"id":"16f2a7f3-3ed7-4de6-bf14-f4236b94976a","title":"View phone usage","notes":"","date":"2026-10-02","time":null,"amount":null,"kind":null,"category":null,"account":null,"timezone":"America/Los_Angeles"}</x:v>
      </x:c>
    </x:row>
    <x:row r="25" ht="132" customHeight="1">
      <x:c r="A25" s="7" t="str">
        <x:v>v2-memo-en-13</x:v>
      </x:c>
      <x:c r="B25" s="7" t="str">
        <x:v>memo</x:v>
      </x:c>
      <x:c r="C25" s="7" t="str">
        <x:v>Create a task to update the exhibition labels tomorrow or next Monday.</x:v>
      </x:c>
      <x:c r="D25" s="7" t="str">
        <x:v>draft</x:v>
      </x:c>
      <x:c r="E25" s="7" t="str">
        <x:v>memo</x:v>
      </x:c>
      <x:c r="F25" s="7" t="str">
        <x:v>draft</x:v>
      </x:c>
      <x:c r="G25" s="7" t="str">
        <x:v>memo</x:v>
      </x:c>
      <x:c r="H25" s="8" t="n">
        <x:v>1</x:v>
      </x:c>
      <x:c r="I25" s="8" t="n">
        <x:v>2</x:v>
      </x:c>
      <x:c r="J25" s="8" t="n">
        <x:v>2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{"status":"draft","module":"memo","title":{"containsAny":["exhibition","label"]},"date":null,"priority":null}</x:v>
      </x:c>
      <x:c r="P25" s="7" t="str">
        <x:v>{"id":"9e8f09ed-cb18-402a-9e46-766e6d6e471e","title":"Update Exhibition Labels","notes":"","dueDate":null,"timezone":"America/Los_Angeles","priority":null,"dateText":"Create a task to update the exhibition labels tomorrow or next Monday.","warnings":["date_needs_review","priority_missing"]}</x:v>
      </x:c>
    </x:row>
    <x:row r="26" ht="132" customHeight="1">
      <x:c r="A26" s="7" t="str">
        <x:v>v2-health-en-26</x:v>
      </x:c>
      <x:c r="B26" s="7" t="str">
        <x:v>health</x:v>
      </x:c>
      <x:c r="C26" s="7" t="str">
        <x:v>Log a body weight of 63 kg in Health.</x:v>
      </x:c>
      <x:c r="D26" s="7" t="str">
        <x:v>clarification</x:v>
      </x:c>
      <x:c r="E26" s="7" t="str"/>
      <x:c r="F26" s="7" t="str">
        <x:v>clarification</x:v>
      </x:c>
      <x:c r="G26" s="7" t="str"/>
      <x:c r="H26" s="8" t="n">
        <x:v>1</x:v>
      </x:c>
      <x:c r="I26" s="8" t="n">
        <x:v>0</x:v>
      </x:c>
      <x:c r="J26" s="8" t="n">
        <x:v>0</x:v>
      </x:c>
      <x:c r="K26" s="8" t="n">
        <x:v>1</x:v>
      </x:c>
      <x:c r="L26" s="8" t="n">
        <x:v>0</x:v>
      </x:c>
      <x:c r="M26" s="8" t="n">
        <x:v>0</x:v>
      </x:c>
      <x:c r="N26" s="7" t="str"/>
      <x:c r="O26" s="7" t="str">
        <x:v>{"status":"clarification","module":null}</x:v>
      </x:c>
      <x:c r="P26" s="7" t="str">
        <x:v>{"status":"clarification","reason":"health_unsupported","module":null,"draft":null,"fields":null}</x:v>
      </x:c>
    </x:row>
    <x:row r="27" ht="132" customHeight="1">
      <x:c r="A27" s="7" t="str">
        <x:v>v2-memo-en-12</x:v>
      </x:c>
      <x:c r="B27" s="7" t="str">
        <x:v>memo</x:v>
      </x:c>
      <x:c r="C27" s="7" t="str">
        <x:v>Maybe tomorrow I will rewrite the grant summary; add a to-do draft.</x:v>
      </x:c>
      <x:c r="D27" s="7" t="str">
        <x:v>draft</x:v>
      </x:c>
      <x:c r="E27" s="7" t="str">
        <x:v>memo</x:v>
      </x:c>
      <x:c r="F27" s="7" t="str">
        <x:v>draft</x:v>
      </x:c>
      <x:c r="G27" s="7" t="str">
        <x:v>memo</x:v>
      </x:c>
      <x:c r="H27" s="8" t="n">
        <x:v>1</x:v>
      </x:c>
      <x:c r="I27" s="8" t="n">
        <x:v>2</x:v>
      </x:c>
      <x:c r="J27" s="8" t="n">
        <x:v>2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{"status":"draft","module":"memo","title":{"containsAny":["grant","summary"]},"date":null,"priority":null}</x:v>
      </x:c>
      <x:c r="P27" s="7" t="str">
        <x:v>{"id":"f310e9d6-2e81-49c5-ae4e-62282b08e87d","title":"Rewrite grant summary","notes":"add a to-do draft","dueDate":null,"timezone":"America/Los_Angeles","priority":null,"dateText":"Maybe tomorrow I will rewrite the grant summary; add a to-do draft.","warnings":["date_needs_review","priority_missing"]}</x:v>
      </x:c>
    </x:row>
    <x:row r="28" ht="132" customHeight="1">
      <x:c r="A28" s="7" t="str">
        <x:v>v2-memo-en-27</x:v>
      </x:c>
      <x:c r="B28" s="7" t="str">
        <x:v>memo</x:v>
      </x:c>
      <x:c r="C28" s="7" t="str">
        <x:v>Add a task to pack the telescope today.</x:v>
      </x:c>
      <x:c r="D28" s="7" t="str">
        <x:v>draft</x:v>
      </x:c>
      <x:c r="E28" s="7" t="str">
        <x:v>memo</x:v>
      </x:c>
      <x:c r="F28" s="7" t="str">
        <x:v>draft</x:v>
      </x:c>
      <x:c r="G28" s="7" t="str">
        <x:v>memo</x:v>
      </x:c>
      <x:c r="H28" s="8" t="n">
        <x:v>1</x:v>
      </x:c>
      <x:c r="I28" s="8" t="n">
        <x:v>2</x:v>
      </x:c>
      <x:c r="J28" s="8" t="n">
        <x:v>2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{"status":"draft","module":"memo","title":{"containsAny":["telescope"]},"date":"2026-10-02","priority":null}</x:v>
      </x:c>
      <x:c r="P28" s="7" t="str">
        <x:v>{"id":"f26b4125-b7a2-4631-a2b7-f5cec837f29d","title":"Pack the telescope","notes":"","dueDate":"2026-10-02","timezone":"America/Los_Angeles","priority":null,"dateText":"today","warnings":["priority_missing"]}</x:v>
      </x:c>
    </x:row>
    <x:row r="29" ht="132" customHeight="1">
      <x:c r="A29" s="7" t="str">
        <x:v>v2-finance-en-21</x:v>
      </x:c>
      <x:c r="B29" s="7" t="str">
        <x:v>finance</x:v>
      </x:c>
      <x:c r="C29" s="7" t="str">
        <x:v>Log 19.90 yuan spent at the bakery today in cash.</x:v>
      </x:c>
      <x:c r="D29" s="7" t="str">
        <x:v>draft</x:v>
      </x:c>
      <x:c r="E29" s="7" t="str">
        <x:v>finance</x:v>
      </x:c>
      <x:c r="F29" s="7" t="str">
        <x:v>draft</x:v>
      </x:c>
      <x:c r="G29" s="7" t="str">
        <x:v>finance</x:v>
      </x:c>
      <x:c r="H29" s="8" t="n">
        <x:v>1</x:v>
      </x:c>
      <x:c r="I29" s="8" t="n">
        <x:v>6</x:v>
      </x:c>
      <x:c r="J29" s="8" t="n">
        <x:v>6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{"status":"draft","module":"finance","title":{"containsAny":["bakery"]},"amount":"19.90","account":"Cash","kind":"expense","date":"2026-10-02","category":"Food &amp; Drinks"}</x:v>
      </x:c>
      <x:c r="P29" s="7" t="str">
        <x:v>{"id":"dc6efe37-1992-465d-80a9-20e0898b4801","title":"Bakery","notes":"19.90","date":"2026-10-02","time":null,"amount":"19.90","kind":"expense","category":"Food &amp; Drinks","account":"Cash","timezone":"America/Los_Angeles"}</x:v>
      </x:c>
    </x:row>
    <x:row r="30" ht="132" customHeight="1">
      <x:c r="A30" s="7" t="str">
        <x:v>v2-schedule-en-15</x:v>
      </x:c>
      <x:c r="B30" s="7" t="str">
        <x:v>schedule</x:v>
      </x:c>
      <x:c r="C30" s="7" t="str">
        <x:v>Schedule the rowing lesson this Saturday or next Tuesday.</x:v>
      </x:c>
      <x:c r="D30" s="7" t="str">
        <x:v>draft</x:v>
      </x:c>
      <x:c r="E30" s="7" t="str">
        <x:v>schedule</x:v>
      </x:c>
      <x:c r="F30" s="7" t="str">
        <x:v>draft</x:v>
      </x:c>
      <x:c r="G30" s="7" t="str">
        <x:v>schedule</x:v>
      </x:c>
      <x:c r="H30" s="8" t="n">
        <x:v>1</x:v>
      </x:c>
      <x:c r="I30" s="8" t="n">
        <x:v>2</x:v>
      </x:c>
      <x:c r="J30" s="8" t="n">
        <x:v>2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{"status":"draft","module":"schedule","title":{"containsAny":["rowing"]},"date":null,"time":null}</x:v>
      </x:c>
      <x:c r="P30" s="7" t="str">
        <x:v>{"id":"f1d9270f-2a15-4bce-bbb9-5e3ff5a3407a","title":"Rowing Lesson","notes":"","date":null,"time":null,"amount":null,"kind":null,"category":null,"account":null,"timezone":"America/Los_Angeles"}</x:v>
      </x:c>
    </x:row>
    <x:row r="31" ht="132" customHeight="1">
      <x:c r="A31" s="7" t="str">
        <x:v>v2-health-en-20</x:v>
      </x:c>
      <x:c r="B31" s="7" t="str">
        <x:v>health</x:v>
      </x:c>
      <x:c r="C31" s="7" t="str">
        <x:v>Fetch my phone usage from last week.</x:v>
      </x:c>
      <x:c r="D31" s="7" t="str">
        <x:v>clarification</x:v>
      </x:c>
      <x:c r="E31" s="7" t="str"/>
      <x:c r="F31" s="7" t="str">
        <x:v>clarification</x:v>
      </x:c>
      <x:c r="G31" s="7" t="str"/>
      <x:c r="H31" s="8" t="n">
        <x:v>1</x:v>
      </x:c>
      <x:c r="I31" s="8" t="n">
        <x:v>0</x:v>
      </x:c>
      <x:c r="J31" s="8" t="n">
        <x:v>0</x:v>
      </x:c>
      <x:c r="K31" s="8" t="n">
        <x:v>1</x:v>
      </x:c>
      <x:c r="L31" s="8" t="n">
        <x:v>0</x:v>
      </x:c>
      <x:c r="M31" s="8" t="n">
        <x:v>0</x:v>
      </x:c>
      <x:c r="N31" s="7" t="str"/>
      <x:c r="O31" s="7" t="str">
        <x:v>{"status":"clarification","module":null}</x:v>
      </x:c>
      <x:c r="P31" s="7" t="str">
        <x:v>{"status":"clarification","reason":"health_today_only","module":null,"draft":null,"fields":null}</x:v>
      </x:c>
    </x:row>
    <x:row r="32" ht="132" customHeight="1">
      <x:c r="A32" s="7" t="str">
        <x:v>v2-schedule-en-09</x:v>
      </x:c>
      <x:c r="B32" s="7" t="str">
        <x:v>schedule</x:v>
      </x:c>
      <x:c r="C32" s="7" t="str">
        <x:v>Record yesterday's design consultation at 11am as an event.</x:v>
      </x:c>
      <x:c r="D32" s="7" t="str">
        <x:v>draft</x:v>
      </x:c>
      <x:c r="E32" s="7" t="str">
        <x:v>schedule</x:v>
      </x:c>
      <x:c r="F32" s="7" t="str">
        <x:v>draft</x:v>
      </x:c>
      <x:c r="G32" s="7" t="str">
        <x:v>schedule</x:v>
      </x:c>
      <x:c r="H32" s="8" t="n">
        <x:v>1</x:v>
      </x:c>
      <x:c r="I32" s="8" t="n">
        <x:v>2</x:v>
      </x:c>
      <x:c r="J32" s="8" t="n">
        <x:v>2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{"status":"draft","module":"schedule","title":{"containsAny":["design","consultation"]},"date":"2026-10-01","time":"11:00"}</x:v>
      </x:c>
      <x:c r="P32" s="7" t="str">
        <x:v>{"id":"16e7f202-aa3c-4ba0-bd3a-04df59b140c2","title":"Design Consultation","notes":"yesterday at 11am","date":"2026-10-01","time":"11:00","amount":null,"kind":null,"category":null,"account":null,"timezone":"America/Los_Angeles"}</x:v>
      </x:c>
    </x:row>
    <x:row r="33" ht="132" customHeight="1">
      <x:c r="A33" s="7" t="str">
        <x:v>v2-finance-en-27</x:v>
      </x:c>
      <x:c r="B33" s="7" t="str">
        <x:v>finance</x:v>
      </x:c>
      <x:c r="C33" s="7" t="str">
        <x:v>Record a pastry that cost 9 euros today.</x:v>
      </x:c>
      <x:c r="D33" s="7" t="str">
        <x:v>clarification</x:v>
      </x:c>
      <x:c r="E33" s="7" t="str"/>
      <x:c r="F33" s="7" t="str">
        <x:v>clarification</x:v>
      </x:c>
      <x:c r="G33" s="7" t="str"/>
      <x:c r="H33" s="8" t="n">
        <x:v>1</x:v>
      </x:c>
      <x:c r="I33" s="8" t="n">
        <x:v>0</x:v>
      </x:c>
      <x:c r="J33" s="8" t="n">
        <x:v>0</x:v>
      </x:c>
      <x:c r="K33" s="8" t="n">
        <x:v>1</x:v>
      </x:c>
      <x:c r="L33" s="8" t="n">
        <x:v>0</x:v>
      </x:c>
      <x:c r="M33" s="8" t="n">
        <x:v>0</x:v>
      </x:c>
      <x:c r="N33" s="7" t="str"/>
      <x:c r="O33" s="7" t="str">
        <x:v>{"status":"clarification","module":null}</x:v>
      </x:c>
      <x:c r="P33" s="7" t="str">
        <x:v>{"status":"clarification","reason":"unsupported_currency","module":null,"draft":null,"fields":null}</x:v>
      </x:c>
    </x:row>
    <x:row r="34" ht="132" customHeight="1">
      <x:c r="A34" s="7" t="str">
        <x:v>v2-memo-en-28</x:v>
      </x:c>
      <x:c r="B34" s="7" t="str">
        <x:v>memo</x:v>
      </x:c>
      <x:c r="C34" s="7" t="str">
        <x:v>Add a task to mend the curtain and record a 24 yuan lunch expense.</x:v>
      </x:c>
      <x:c r="D34" s="7" t="str">
        <x:v>clarification</x:v>
      </x:c>
      <x:c r="E34" s="7" t="str"/>
      <x:c r="F34" s="7" t="str">
        <x:v>clarification</x:v>
      </x:c>
      <x:c r="G34" s="7" t="str"/>
      <x:c r="H34" s="8" t="n">
        <x:v>1</x:v>
      </x:c>
      <x:c r="I34" s="8" t="n">
        <x:v>0</x:v>
      </x:c>
      <x:c r="J34" s="8" t="n">
        <x:v>0</x:v>
      </x:c>
      <x:c r="K34" s="8" t="n">
        <x:v>1</x:v>
      </x:c>
      <x:c r="L34" s="8" t="n">
        <x:v>0</x:v>
      </x:c>
      <x:c r="M34" s="8" t="n">
        <x:v>0</x:v>
      </x:c>
      <x:c r="N34" s="7" t="str"/>
      <x:c r="O34" s="7" t="str">
        <x:v>{"status":"clarification","module":null}</x:v>
      </x:c>
      <x:c r="P34" s="7" t="str">
        <x:v>{"status":"clarification","reason":"multiple_tasks","module":null,"draft":null,"fields":null}</x:v>
      </x:c>
    </x:row>
    <x:row r="35" ht="132" customHeight="1">
      <x:c r="A35" s="7" t="str">
        <x:v>v2-finance-en-30</x:v>
      </x:c>
      <x:c r="B35" s="7" t="str">
        <x:v>finance</x:v>
      </x:c>
      <x:c r="C35" s="7" t="str">
        <x:v>Record my parking payment of 15 yuan and show today's app usage.</x:v>
      </x:c>
      <x:c r="D35" s="7" t="str">
        <x:v>clarification</x:v>
      </x:c>
      <x:c r="E35" s="7" t="str"/>
      <x:c r="F35" s="7" t="str">
        <x:v>clarification</x:v>
      </x:c>
      <x:c r="G35" s="7" t="str"/>
      <x:c r="H35" s="8" t="n">
        <x:v>1</x:v>
      </x:c>
      <x:c r="I35" s="8" t="n">
        <x:v>0</x:v>
      </x:c>
      <x:c r="J35" s="8" t="n">
        <x:v>0</x:v>
      </x:c>
      <x:c r="K35" s="8" t="n">
        <x:v>1</x:v>
      </x:c>
      <x:c r="L35" s="8" t="n">
        <x:v>0</x:v>
      </x:c>
      <x:c r="M35" s="8" t="n">
        <x:v>0</x:v>
      </x:c>
      <x:c r="N35" s="7" t="str"/>
      <x:c r="O35" s="7" t="str">
        <x:v>{"status":"clarification","module":null}</x:v>
      </x:c>
      <x:c r="P35" s="7" t="str">
        <x:v>{"status":"clarification","reason":"multiple_tasks","module":null,"draft":null,"fields":null}</x:v>
      </x:c>
    </x:row>
    <x:row r="36" ht="132" customHeight="1">
      <x:c r="A36" s="7" t="str">
        <x:v>v2-finance-en-26</x:v>
      </x:c>
      <x:c r="B36" s="7" t="str">
        <x:v>finance</x:v>
      </x:c>
      <x:c r="C36" s="7" t="str">
        <x:v>Log 81 yuan for a theatre ticket today, account not recorded.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{"status":"draft","module":"finance","title":{"containsAny":["theatre","ticket"]},"amount":"81","account":null,"kind":"expense","date":"2026-10-02","category":"Entertainment"}</x:v>
      </x:c>
      <x:c r="P36" s="7" t="str">
        <x:v>{"id":"e1bf3a4f-505b-4a01-8155-99aafd2106a9","title":"Theatre Ticket","notes":"81","date":"2026-10-02","time":null,"amount":"81","kind":"expense","category":"Entertainment","account":null,"timezone":"America/Los_Angeles"}</x:v>
      </x:c>
    </x:row>
    <x:row r="37" ht="132" customHeight="1">
      <x:c r="A37" s="7" t="str">
        <x:v>v2-memo-en-15</x:v>
      </x:c>
      <x:c r="B37" s="7" t="str">
        <x:v>memo</x:v>
      </x:c>
      <x:c r="C37" s="7" t="str">
        <x:v>Create a memo to revise the abstract; not urgent.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memo</x:v>
      </x:c>
      <x:c r="H37" s="8" t="n">
        <x:v>1</x:v>
      </x:c>
      <x:c r="I37" s="8" t="n">
        <x:v>2</x:v>
      </x:c>
      <x:c r="J37" s="8" t="n">
        <x:v>2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{"status":"draft","module":"memo","title":{"containsAny":["abstract"]},"date":null,"priority":null}</x:v>
      </x:c>
      <x:c r="P37" s="7" t="str">
        <x:v>{"id":"f4408e30-fb2b-4bd0-b1f9-f2b3bbfc55d5","title":"Revise the Abstract","notes":"","dueDate":null,"timezone":"America/Los_Angeles","priority":null,"dateText":null,"warnings":["date_missing","priority_missing"]}</x:v>
      </x:c>
    </x:row>
    <x:row r="38" ht="132" customHeight="1">
      <x:c r="A38" s="7" t="str">
        <x:v>v2-health-en-05</x:v>
      </x:c>
      <x:c r="B38" s="7" t="str">
        <x:v>health</x:v>
      </x:c>
      <x:c r="C38" s="7" t="str">
        <x:v>I want to see my digital wellbeing dashboard.</x:v>
      </x:c>
      <x:c r="D38" s="7" t="str">
        <x:v>draft</x:v>
      </x:c>
      <x:c r="E38" s="7" t="str">
        <x:v>health</x:v>
      </x:c>
      <x:c r="F38" s="7" t="str">
        <x:v>draft</x:v>
      </x:c>
      <x:c r="G38" s="7" t="str">
        <x:v>health</x:v>
      </x:c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1</x:v>
      </x:c>
      <x:c r="M38" s="8" t="n">
        <x:v>1</x:v>
      </x:c>
      <x:c r="N38" s="7" t="str"/>
      <x:c r="O38" s="7" t="str">
        <x:v>{"status":"draft","module":"health"}</x:v>
      </x:c>
      <x:c r="P38" s="7" t="str">
        <x:v>{"id":"b3bd19fc-0bba-4299-a34e-51c28966e0f4","title":"View phone usage","notes":"","date":null,"time":null,"amount":null,"kind":null,"category":null,"account":null,"timezone":"America/Los_Angeles"}</x:v>
      </x:c>
    </x:row>
    <x:row r="39" ht="132" customHeight="1">
      <x:c r="A39" s="7" t="str">
        <x:v>v2-memo-en-01</x:v>
      </x:c>
      <x:c r="B39" s="7" t="str">
        <x:v>memo</x:v>
      </x:c>
      <x:c r="C39" s="7" t="str">
        <x:v>Create a high priority to-do: proofread the astronomy poster tomorrow.</x:v>
      </x:c>
      <x:c r="D39" s="7" t="str">
        <x:v>draft</x:v>
      </x:c>
      <x:c r="E39" s="7" t="str">
        <x:v>memo</x:v>
      </x:c>
      <x:c r="F39" s="7" t="str">
        <x:v>draft</x:v>
      </x:c>
      <x:c r="G39" s="7" t="str">
        <x:v>memo</x:v>
      </x:c>
      <x:c r="H39" s="8" t="n">
        <x:v>1</x:v>
      </x:c>
      <x:c r="I39" s="8" t="n">
        <x:v>2</x:v>
      </x:c>
      <x:c r="J39" s="8" t="n">
        <x:v>2</x:v>
      </x:c>
      <x:c r="K39" s="8" t="n">
        <x:v>1</x:v>
      </x:c>
      <x:c r="L39" s="8" t="n">
        <x:v>1</x:v>
      </x:c>
      <x:c r="M39" s="8" t="n">
        <x:v>1</x:v>
      </x:c>
      <x:c r="N39" s="7" t="str"/>
      <x:c r="O39" s="7" t="str">
        <x:v>{"status":"draft","module":"memo","title":{"containsAny":["astronomy","poster"]},"date":"2026-10-03","priority":"important"}</x:v>
      </x:c>
      <x:c r="P39" s="7" t="str">
        <x:v>{"id":"93ea1ae7-c0a3-4771-9852-e1d1bd256174","title":"Proofread the astronomy poster","notes":"tomorrow","dueDate":"2026-10-03","timezone":"America/Los_Angeles","priority":"important","dateText":"tomorrow","warnings":[]}</x:v>
      </x:c>
    </x:row>
    <x:row r="40" ht="132" customHeight="1">
      <x:c r="A40" s="7" t="str">
        <x:v>v2-schedule-en-14</x:v>
      </x:c>
      <x:c r="B40" s="7" t="str">
        <x:v>schedule</x:v>
      </x:c>
      <x:c r="C40" s="7" t="str">
        <x:v>Perhaps tomorrow at 6pm we will hold the poetry reading; make a calendar draft.</x:v>
      </x:c>
      <x:c r="D40" s="7" t="str">
        <x:v>draft</x:v>
      </x:c>
      <x:c r="E40" s="7" t="str">
        <x:v>schedule</x:v>
      </x:c>
      <x:c r="F40" s="7" t="str">
        <x:v>draft</x:v>
      </x:c>
      <x:c r="G40" s="7" t="str">
        <x:v>schedule</x:v>
      </x:c>
      <x:c r="H40" s="8" t="n">
        <x:v>1</x:v>
      </x:c>
      <x:c r="I40" s="8" t="n">
        <x:v>2</x:v>
      </x:c>
      <x:c r="J40" s="8" t="n">
        <x:v>2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{"status":"draft","module":"schedule","title":{"containsAny":["poetry"]},"date":null,"time":"18:00"}</x:v>
      </x:c>
      <x:c r="P40" s="7" t="str">
        <x:v>{"id":"2468a779-72fe-458a-9005-ecacbb16dafb","title":"Poetry Reading","notes":"Tomorrow at 6pm","date":null,"time":"18:00","amount":null,"kind":null,"category":null,"account":null,"timezone":"America/Los_Angeles"}</x:v>
      </x:c>
    </x:row>
    <x:row r="41" ht="132" customHeight="1">
      <x:c r="A41" s="7" t="str">
        <x:v>v2-health-en-04</x:v>
      </x:c>
      <x:c r="B41" s="7" t="str">
        <x:v>health</x:v>
      </x:c>
      <x:c r="C41" s="7" t="str">
        <x:v>Take me to Health to inspect screen-time statistics.</x:v>
      </x:c>
      <x:c r="D41" s="7" t="str">
        <x:v>draft</x:v>
      </x:c>
      <x:c r="E41" s="7" t="str">
        <x:v>health</x:v>
      </x:c>
      <x:c r="F41" s="7" t="str">
        <x:v>draft</x:v>
      </x:c>
      <x:c r="G41" s="7" t="str">
        <x:v>health</x:v>
      </x:c>
      <x:c r="H41" s="8" t="n">
        <x:v>1</x:v>
      </x:c>
      <x:c r="I41" s="8" t="n">
        <x:v>0</x:v>
      </x:c>
      <x:c r="J41" s="8" t="n">
        <x:v>0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{"status":"draft","module":"health"}</x:v>
      </x:c>
      <x:c r="P41" s="7" t="str">
        <x:v>{"id":"fbbf2b3d-b6dd-42a4-aa13-7f66fcdaef53","title":"View phone usage","notes":"","date":null,"time":null,"amount":null,"kind":null,"category":null,"account":null,"timezone":"America/Los_Angeles"}</x:v>
      </x:c>
    </x:row>
    <x:row r="42" ht="132" customHeight="1">
      <x:c r="A42" s="7" t="str">
        <x:v>v2-health-en-08</x:v>
      </x:c>
      <x:c r="B42" s="7" t="str">
        <x:v>health</x:v>
      </x:c>
      <x:c r="C42" s="7" t="str">
        <x:v>Let me inspect the foreground app usage list.</x:v>
      </x:c>
      <x:c r="D42" s="7" t="str">
        <x:v>draft</x:v>
      </x:c>
      <x:c r="E42" s="7" t="str">
        <x:v>health</x:v>
      </x:c>
      <x:c r="F42" s="7" t="str">
        <x:v>draft</x:v>
      </x:c>
      <x:c r="G42" s="7" t="str">
        <x:v>health</x:v>
      </x:c>
      <x:c r="H42" s="8" t="n">
        <x:v>1</x:v>
      </x:c>
      <x:c r="I42" s="8" t="n">
        <x:v>0</x:v>
      </x:c>
      <x:c r="J42" s="8" t="n">
        <x:v>0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{"status":"draft","module":"health"}</x:v>
      </x:c>
      <x:c r="P42" s="7" t="str">
        <x:v>{"id":"81788614-cd10-4854-899e-42eedf348681","title":"View phone usage","notes":"","date":null,"time":null,"amount":null,"kind":null,"category":null,"account":null,"timezone":"America/Los_Angeles"}</x:v>
      </x:c>
    </x:row>
    <x:row r="43" ht="132" customHeight="1">
      <x:c r="A43" s="7" t="str">
        <x:v>v2-memo-en-04</x:v>
      </x:c>
      <x:c r="B43" s="7" t="str">
        <x:v>memo</x:v>
      </x:c>
      <x:c r="C43" s="7" t="str">
        <x:v>Remember to clean the camera lens.</x:v>
      </x:c>
      <x:c r="D43" s="7" t="str">
        <x:v>draft</x:v>
      </x:c>
      <x:c r="E43" s="7" t="str">
        <x:v>memo</x:v>
      </x:c>
      <x:c r="F43" s="7" t="str">
        <x:v>draft</x:v>
      </x:c>
      <x:c r="G43" s="7" t="str">
        <x:v>memo</x:v>
      </x:c>
      <x:c r="H43" s="8" t="n">
        <x:v>1</x:v>
      </x:c>
      <x:c r="I43" s="8" t="n">
        <x:v>2</x:v>
      </x:c>
      <x:c r="J43" s="8" t="n">
        <x:v>2</x:v>
      </x:c>
      <x:c r="K43" s="8" t="n">
        <x:v>1</x:v>
      </x:c>
      <x:c r="L43" s="8" t="n">
        <x:v>1</x:v>
      </x:c>
      <x:c r="M43" s="8" t="n">
        <x:v>1</x:v>
      </x:c>
      <x:c r="N43" s="7" t="str"/>
      <x:c r="O43" s="7" t="str">
        <x:v>{"status":"draft","module":"memo","title":{"containsAny":["camera","lens"]},"date":null,"priority":null}</x:v>
      </x:c>
      <x:c r="P43" s="7" t="str">
        <x:v>{"id":"5cde00da-6de6-4791-aa73-93543ff8281e","title":"Clean the camera lens","notes":"Remember to clean the camera lens","dueDate":null,"timezone":"America/Los_Angeles","priority":null,"dateText":null,"warnings":["date_missing","priority_missing"]}</x:v>
      </x:c>
    </x:row>
    <x:row r="44" ht="132" customHeight="1">
      <x:c r="A44" s="7" t="str">
        <x:v>v2-health-en-13</x:v>
      </x:c>
      <x:c r="B44" s="7" t="str">
        <x:v>health</x:v>
      </x:c>
      <x:c r="C44" s="7" t="str">
        <x:v>Display how long I used my phone today.</x:v>
      </x:c>
      <x:c r="D44" s="7" t="str">
        <x:v>draft</x:v>
      </x:c>
      <x:c r="E44" s="7" t="str">
        <x:v>health</x:v>
      </x:c>
      <x:c r="F44" s="7" t="str">
        <x:v>draft</x:v>
      </x:c>
      <x:c r="G44" s="7" t="str">
        <x:v>health</x:v>
      </x:c>
      <x:c r="H44" s="8" t="n">
        <x:v>1</x:v>
      </x:c>
      <x:c r="I44" s="8" t="n">
        <x:v>0</x:v>
      </x:c>
      <x:c r="J44" s="8" t="n">
        <x:v>0</x:v>
      </x:c>
      <x:c r="K44" s="8" t="n">
        <x:v>1</x:v>
      </x:c>
      <x:c r="L44" s="8" t="n">
        <x:v>1</x:v>
      </x:c>
      <x:c r="M44" s="8" t="n">
        <x:v>1</x:v>
      </x:c>
      <x:c r="N44" s="7" t="str"/>
      <x:c r="O44" s="7" t="str">
        <x:v>{"status":"draft","module":"health"}</x:v>
      </x:c>
      <x:c r="P44" s="7" t="str">
        <x:v>{"id":"04171e20-e8f5-4fdc-a7f0-0939003d283f","title":"View phone usage","notes":"","date":"2026-10-02","time":null,"amount":null,"kind":null,"category":null,"account":null,"timezone":"America/Los_Angeles"}</x:v>
      </x:c>
    </x:row>
    <x:row r="45" ht="132" customHeight="1">
      <x:c r="A45" s="7" t="str">
        <x:v>v2-health-en-25</x:v>
      </x:c>
      <x:c r="B45" s="7" t="str">
        <x:v>health</x:v>
      </x:c>
      <x:c r="C45" s="7" t="str">
        <x:v>Record my blood pressure as 118 over 76 in Health.</x:v>
      </x:c>
      <x:c r="D45" s="7" t="str">
        <x:v>clarification</x:v>
      </x:c>
      <x:c r="E45" s="7" t="str"/>
      <x:c r="F45" s="7" t="str">
        <x:v>clarification</x:v>
      </x:c>
      <x:c r="G45" s="7" t="str"/>
      <x:c r="H45" s="8" t="n">
        <x:v>1</x:v>
      </x:c>
      <x:c r="I45" s="8" t="n">
        <x:v>0</x:v>
      </x:c>
      <x:c r="J45" s="8" t="n">
        <x:v>0</x:v>
      </x:c>
      <x:c r="K45" s="8" t="n">
        <x:v>1</x:v>
      </x:c>
      <x:c r="L45" s="8" t="n">
        <x:v>0</x:v>
      </x:c>
      <x:c r="M45" s="8" t="n">
        <x:v>0</x:v>
      </x:c>
      <x:c r="N45" s="7" t="str"/>
      <x:c r="O45" s="7" t="str">
        <x:v>{"status":"clarification","module":null}</x:v>
      </x:c>
      <x:c r="P45" s="7" t="str">
        <x:v>{"status":"clarification","reason":"health_unsupported","module":null,"draft":null,"fields":null}</x:v>
      </x:c>
    </x:row>
    <x:row r="46" ht="132" customHeight="1">
      <x:c r="A46" s="7" t="str">
        <x:v>v2-finance-en-29</x:v>
      </x:c>
      <x:c r="B46" s="7" t="str">
        <x:v>finance</x:v>
      </x:c>
      <x:c r="C46" s="7" t="str">
        <x:v>Record 21 yuan for dinner and add tomorrow's violin lesson to my calendar.</x:v>
      </x:c>
      <x:c r="D46" s="7" t="str">
        <x:v>clarification</x:v>
      </x:c>
      <x:c r="E46" s="7" t="str"/>
      <x:c r="F46" s="7" t="str">
        <x:v>clarification</x:v>
      </x:c>
      <x:c r="G46" s="7" t="str"/>
      <x:c r="H46" s="8" t="n">
        <x:v>1</x:v>
      </x:c>
      <x:c r="I46" s="8" t="n">
        <x:v>0</x:v>
      </x:c>
      <x:c r="J46" s="8" t="n">
        <x:v>0</x:v>
      </x:c>
      <x:c r="K46" s="8" t="n">
        <x:v>1</x:v>
      </x:c>
      <x:c r="L46" s="8" t="n">
        <x:v>0</x:v>
      </x:c>
      <x:c r="M46" s="8" t="n">
        <x:v>0</x:v>
      </x:c>
      <x:c r="N46" s="7" t="str"/>
      <x:c r="O46" s="7" t="str">
        <x:v>{"status":"clarification","module":null}</x:v>
      </x:c>
      <x:c r="P46" s="7" t="str">
        <x:v>{"status":"clarification","reason":"multiple_tasks","module":null,"draft":null,"fields":null}</x:v>
      </x:c>
    </x:row>
    <x:row r="47" ht="132" customHeight="1">
      <x:c r="A47" s="7" t="str">
        <x:v>v2-health-en-06</x:v>
      </x:c>
      <x:c r="B47" s="7" t="str">
        <x:v>health</x:v>
      </x:c>
      <x:c r="C47" s="7" t="str">
        <x:v>Which apps occupied my screen today? Open the usage page.</x:v>
      </x:c>
      <x:c r="D47" s="7" t="str">
        <x:v>draft</x:v>
      </x:c>
      <x:c r="E47" s="7" t="str">
        <x:v>health</x:v>
      </x:c>
      <x:c r="F47" s="7" t="str">
        <x:v>draft</x:v>
      </x:c>
      <x:c r="G47" s="7" t="str">
        <x:v>health</x:v>
      </x:c>
      <x:c r="H47" s="8" t="n">
        <x:v>1</x:v>
      </x:c>
      <x:c r="I47" s="8" t="n">
        <x:v>0</x:v>
      </x:c>
      <x:c r="J47" s="8" t="n">
        <x:v>0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{"status":"draft","module":"health"}</x:v>
      </x:c>
      <x:c r="P47" s="7" t="str">
        <x:v>{"id":"d447a090-eef1-418a-b66c-a2fb85a5b2a5","title":"View phone usage","notes":"Open the usage page","date":"2026-10-02","time":null,"amount":null,"kind":null,"category":null,"account":null,"timezone":"America/Los_Angeles"}</x:v>
      </x:c>
    </x:row>
    <x:row r="48" ht="132" customHeight="1">
      <x:c r="A48" s="7" t="str">
        <x:v>v2-health-en-02</x:v>
      </x:c>
      <x:c r="B48" s="7" t="str">
        <x:v>health</x:v>
      </x:c>
      <x:c r="C48" s="7" t="str">
        <x:v>How much time did I spend on my phone today?</x:v>
      </x:c>
      <x:c r="D48" s="7" t="str">
        <x:v>draft</x:v>
      </x:c>
      <x:c r="E48" s="7" t="str">
        <x:v>health</x:v>
      </x:c>
      <x:c r="F48" s="7" t="str">
        <x:v>draft</x:v>
      </x:c>
      <x:c r="G48" s="7" t="str">
        <x:v>health</x:v>
      </x:c>
      <x:c r="H48" s="8" t="n">
        <x:v>1</x:v>
      </x:c>
      <x:c r="I48" s="8" t="n">
        <x:v>0</x:v>
      </x:c>
      <x:c r="J48" s="8" t="n">
        <x:v>0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{"status":"draft","module":"health"}</x:v>
      </x:c>
      <x:c r="P48" s="7" t="str">
        <x:v>{"id":"bb5b4865-95f9-48af-8503-5df9da35e16e","title":"View phone usage","notes":"","date":"2026-10-02","time":null,"amount":null,"kind":null,"category":null,"account":null,"timezone":"America/Los_Angeles"}</x:v>
      </x:c>
    </x:row>
    <x:row r="49" ht="132" customHeight="1">
      <x:c r="A49" s="7" t="str">
        <x:v>v2-health-en-29</x:v>
      </x:c>
      <x:c r="B49" s="7" t="str">
        <x:v>health</x:v>
      </x:c>
      <x:c r="C49" s="7" t="str">
        <x:v>Open screen time and record a 27 yuan taxi payment.</x:v>
      </x:c>
      <x:c r="D49" s="7" t="str">
        <x:v>clarification</x:v>
      </x:c>
      <x:c r="E49" s="7" t="str"/>
      <x:c r="F49" s="7" t="str">
        <x:v>clarification</x:v>
      </x:c>
      <x:c r="G49" s="7" t="str"/>
      <x:c r="H49" s="8" t="n">
        <x:v>1</x:v>
      </x:c>
      <x:c r="I49" s="8" t="n">
        <x:v>0</x:v>
      </x:c>
      <x:c r="J49" s="8" t="n">
        <x:v>0</x:v>
      </x:c>
      <x:c r="K49" s="8" t="n">
        <x:v>1</x:v>
      </x:c>
      <x:c r="L49" s="8" t="n">
        <x:v>0</x:v>
      </x:c>
      <x:c r="M49" s="8" t="n">
        <x:v>0</x:v>
      </x:c>
      <x:c r="N49" s="7" t="str"/>
      <x:c r="O49" s="7" t="str">
        <x:v>{"status":"clarification","module":null}</x:v>
      </x:c>
      <x:c r="P49" s="7" t="str">
        <x:v>{"status":"clarification","reason":"multiple_tasks","module":null,"draft":null,"fields":null}</x:v>
      </x:c>
    </x:row>
    <x:row r="50" ht="132" customHeight="1">
      <x:c r="A50" s="7" t="str">
        <x:v>v2-memo-en-14</x:v>
      </x:c>
      <x:c r="B50" s="7" t="str">
        <x:v>memo</x:v>
      </x:c>
      <x:c r="C50" s="7" t="str">
        <x:v>Add a reminder to inspect the tripod, but not today.</x:v>
      </x:c>
      <x:c r="D50" s="7" t="str">
        <x:v>draft</x:v>
      </x:c>
      <x:c r="E50" s="7" t="str">
        <x:v>memo</x:v>
      </x:c>
      <x:c r="F50" s="7" t="str">
        <x:v>draft</x:v>
      </x:c>
      <x:c r="G50" s="7" t="str">
        <x:v>memo</x:v>
      </x:c>
      <x:c r="H50" s="8" t="n">
        <x:v>1</x:v>
      </x:c>
      <x:c r="I50" s="8" t="n">
        <x:v>2</x:v>
      </x:c>
      <x:c r="J50" s="8" t="n">
        <x:v>2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{"status":"draft","module":"memo","title":{"containsAny":["tripod"]},"date":null,"priority":null}</x:v>
      </x:c>
      <x:c r="P50" s="7" t="str">
        <x:v>{"id":"50687174-a443-496f-ae94-3b4a0daf53ad","title":"Inspect the tripod","notes":"not today","dueDate":null,"timezone":"America/Los_Angeles","priority":null,"dateText":"Add a reminder to inspect the tripod, but not today.","warnings":["date_needs_review","priority_missing"]}</x:v>
      </x:c>
    </x:row>
    <x:row r="51" ht="132" customHeight="1">
      <x:c r="A51" s="7" t="str">
        <x:v>v2-schedule-en-10</x:v>
      </x:c>
      <x:c r="B51" s="7" t="str">
        <x:v>schedule</x:v>
      </x:c>
      <x:c r="C51" s="7" t="str">
        <x:v>Add a calendar entry for the jazz concert on 2026-09-20 at 20:00.</x:v>
      </x:c>
      <x:c r="D51" s="7" t="str">
        <x:v>draft</x:v>
      </x:c>
      <x:c r="E51" s="7" t="str">
        <x:v>schedule</x:v>
      </x:c>
      <x:c r="F51" s="7" t="str">
        <x:v>draft</x:v>
      </x:c>
      <x:c r="G51" s="7" t="str">
        <x:v>schedule</x:v>
      </x:c>
      <x:c r="H51" s="8" t="n">
        <x:v>1</x:v>
      </x:c>
      <x:c r="I51" s="8" t="n">
        <x:v>2</x:v>
      </x:c>
      <x:c r="J51" s="8" t="n">
        <x:v>2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{"status":"draft","module":"schedule","title":{"containsAny":["jazz"]},"date":"2026-09-20","time":"20:00"}</x:v>
      </x:c>
      <x:c r="P51" s="7" t="str">
        <x:v>{"id":"d2b99604-0107-4475-b748-024775ce0567","title":"Jazz Concert","notes":"","date":"2026-09-20","time":"20:00","amount":null,"kind":null,"category":null,"account":null,"timezone":"America/Los_Angeles"}</x:v>
      </x:c>
    </x:row>
    <x:row r="52" ht="132" customHeight="1">
      <x:c r="A52" s="7" t="str">
        <x:v>v2-schedule-en-25</x:v>
      </x:c>
      <x:c r="B52" s="7" t="str">
        <x:v>schedule</x:v>
      </x:c>
      <x:c r="C52" s="7" t="str">
        <x:v>Add this Tuesday's woodworking class to the calendar.</x:v>
      </x:c>
      <x:c r="D52" s="7" t="str">
        <x:v>draft</x:v>
      </x:c>
      <x:c r="E52" s="7" t="str">
        <x:v>schedule</x:v>
      </x:c>
      <x:c r="F52" s="7" t="str">
        <x:v>draft</x:v>
      </x:c>
      <x:c r="G52" s="7" t="str">
        <x:v>schedule</x:v>
      </x:c>
      <x:c r="H52" s="8" t="n">
        <x:v>1</x:v>
      </x:c>
      <x:c r="I52" s="8" t="n">
        <x:v>2</x:v>
      </x:c>
      <x:c r="J52" s="8" t="n">
        <x:v>2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{"status":"draft","module":"schedule","title":{"containsAny":["woodwork"]},"date":"2026-09-29","time":null}</x:v>
      </x:c>
      <x:c r="P52" s="7" t="str">
        <x:v>{"id":"f750b98a-63e0-4017-b37a-b4621585175a","title":"Woodworking Class","notes":"","date":"2026-09-29","time":null,"amount":null,"kind":null,"category":null,"account":null,"timezone":"America/Los_Angeles"}</x:v>
      </x:c>
    </x:row>
    <x:row r="53" ht="132" customHeight="1">
      <x:c r="A53" s="7" t="str">
        <x:v>v2-memo-en-10</x:v>
      </x:c>
      <x:c r="B53" s="7" t="str">
        <x:v>memo</x:v>
      </x:c>
      <x:c r="C53" s="7" t="str">
        <x:v>Note this task: label the specimen jars the day after tomorrow.</x:v>
      </x:c>
      <x:c r="D53" s="7" t="str">
        <x:v>draft</x:v>
      </x:c>
      <x:c r="E53" s="7" t="str">
        <x:v>memo</x:v>
      </x:c>
      <x:c r="F53" s="7" t="str">
        <x:v>draft</x:v>
      </x:c>
      <x:c r="G53" s="7" t="str">
        <x:v>memo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{"status":"draft","module":"memo","title":{"containsAny":["specimen","jar"]},"date":"2026-10-04","priority":null}</x:v>
      </x:c>
      <x:c r="P53" s="7" t="str">
        <x:v>{"id":"b42a64aa-0f6c-40da-a35e-e4bd8251d396","title":"Label Specimen Jars","notes":"","dueDate":"2026-10-04","timezone":"America/Los_Angeles","priority":null,"dateText":"the day after tomorrow","warnings":["priority_missing"]}</x:v>
      </x:c>
    </x:row>
    <x:row r="54" ht="132" customHeight="1">
      <x:c r="A54" s="7" t="str">
        <x:v>v2-memo-en-21</x:v>
      </x:c>
      <x:c r="B54" s="7" t="str">
        <x:v>memo</x:v>
      </x:c>
      <x:c r="C54" s="7" t="str">
        <x:v>Please add a memo to buy tea and biscuits for the study group.</x:v>
      </x:c>
      <x:c r="D54" s="7" t="str">
        <x:v>draft</x:v>
      </x:c>
      <x:c r="E54" s="7" t="str">
        <x:v>memo</x:v>
      </x:c>
      <x:c r="F54" s="7" t="str">
        <x:v>draft</x:v>
      </x:c>
      <x:c r="G54" s="7" t="str">
        <x:v>memo</x:v>
      </x:c>
      <x:c r="H54" s="8" t="n">
        <x:v>1</x:v>
      </x:c>
      <x:c r="I54" s="8" t="n">
        <x:v>2</x:v>
      </x:c>
      <x:c r="J54" s="8" t="n">
        <x:v>2</x:v>
      </x:c>
      <x:c r="K54" s="8" t="n">
        <x:v>1</x:v>
      </x:c>
      <x:c r="L54" s="8" t="n">
        <x:v>1</x:v>
      </x:c>
      <x:c r="M54" s="8" t="n">
        <x:v>1</x:v>
      </x:c>
      <x:c r="N54" s="7" t="str"/>
      <x:c r="O54" s="7" t="str">
        <x:v>{"status":"draft","module":"memo","title":{"containsAny":["tea","biscuits"]},"date":null,"priority":null}</x:v>
      </x:c>
      <x:c r="P54" s="7" t="str">
        <x:v>{"id":"e2b3f203-6a58-43ab-a4bc-da7275d33d76","title":"Buy tea and biscuits","notes":"for the study group","dueDate":null,"timezone":"America/Los_Angeles","priority":null,"dateText":null,"warnings":["date_missing","priority_missing"]}</x:v>
      </x:c>
    </x:row>
    <x:row r="55" ht="132" customHeight="1">
      <x:c r="A55" s="7" t="str">
        <x:v>v2-health-en-01</x:v>
      </x:c>
      <x:c r="B55" s="7" t="str">
        <x:v>health</x:v>
      </x:c>
      <x:c r="C55" s="7" t="str">
        <x:v>Please open the phone usage overview for today.</x:v>
      </x:c>
      <x:c r="D55" s="7" t="str">
        <x:v>draft</x:v>
      </x:c>
      <x:c r="E55" s="7" t="str">
        <x:v>health</x:v>
      </x:c>
      <x:c r="F55" s="7" t="str">
        <x:v>draft</x:v>
      </x:c>
      <x:c r="G55" s="7" t="str">
        <x:v>health</x:v>
      </x:c>
      <x:c r="H55" s="8" t="n">
        <x:v>1</x:v>
      </x:c>
      <x:c r="I55" s="8" t="n">
        <x:v>0</x:v>
      </x:c>
      <x:c r="J55" s="8" t="n">
        <x:v>0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{"status":"draft","module":"health"}</x:v>
      </x:c>
      <x:c r="P55" s="7" t="str">
        <x:v>{"id":"4e28a26b-c750-4ae4-8cf3-1a93aeca1573","title":"View phone usage","notes":"","date":"2026-10-02","time":null,"amount":null,"kind":null,"category":null,"account":null,"timezone":"America/Los_Angeles"}</x:v>
      </x:c>
    </x:row>
    <x:row r="56" ht="132" customHeight="1">
      <x:c r="A56" s="7" t="str">
        <x:v>v2-health-en-17</x:v>
      </x:c>
      <x:c r="B56" s="7" t="str">
        <x:v>health</x:v>
      </x:c>
      <x:c r="C56" s="7" t="str">
        <x:v>Show today's usage time for each app.</x:v>
      </x:c>
      <x:c r="D56" s="7" t="str">
        <x:v>draft</x:v>
      </x:c>
      <x:c r="E56" s="7" t="str">
        <x:v>health</x:v>
      </x:c>
      <x:c r="F56" s="7" t="str">
        <x:v>draft</x:v>
      </x:c>
      <x:c r="G56" s="7" t="str">
        <x:v>health</x:v>
      </x:c>
      <x:c r="H56" s="8" t="n">
        <x:v>1</x:v>
      </x:c>
      <x:c r="I56" s="8" t="n">
        <x:v>0</x:v>
      </x:c>
      <x:c r="J56" s="8" t="n">
        <x:v>0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{"status":"draft","module":"health"}</x:v>
      </x:c>
      <x:c r="P56" s="7" t="str">
        <x:v>{"id":"906bd7bb-03cf-4d2f-ba5a-d745916238bd","title":"View phone usage","notes":"","date":"2026-10-02","time":null,"amount":null,"kind":null,"category":null,"account":null,"timezone":"America/Los_Angeles"}</x:v>
      </x:c>
    </x:row>
    <x:row r="57" ht="132" customHeight="1">
      <x:c r="A57" s="7" t="str">
        <x:v>v2-schedule-en-24</x:v>
      </x:c>
      <x:c r="B57" s="7" t="str">
        <x:v>schedule</x:v>
      </x:c>
      <x:c r="C57" s="7" t="str">
        <x:v>Add a calendar event: meet the mentor today.</x:v>
      </x:c>
      <x:c r="D57" s="7" t="str">
        <x:v>draft</x:v>
      </x:c>
      <x:c r="E57" s="7" t="str">
        <x:v>schedule</x:v>
      </x:c>
      <x:c r="F57" s="7" t="str">
        <x:v>draft</x:v>
      </x:c>
      <x:c r="G57" s="7" t="str">
        <x:v>schedule</x:v>
      </x:c>
      <x:c r="H57" s="8" t="n">
        <x:v>1</x:v>
      </x:c>
      <x:c r="I57" s="8" t="n">
        <x:v>2</x:v>
      </x:c>
      <x:c r="J57" s="8" t="n">
        <x:v>2</x:v>
      </x:c>
      <x:c r="K57" s="8" t="n">
        <x:v>1</x:v>
      </x:c>
      <x:c r="L57" s="8" t="n">
        <x:v>1</x:v>
      </x:c>
      <x:c r="M57" s="8" t="n">
        <x:v>1</x:v>
      </x:c>
      <x:c r="N57" s="7" t="str"/>
      <x:c r="O57" s="7" t="str">
        <x:v>{"status":"draft","module":"schedule","title":{"containsAny":["mentor"]},"date":"2026-10-02","time":null}</x:v>
      </x:c>
      <x:c r="P57" s="7" t="str">
        <x:v>{"id":"4698354b-64da-451e-9e5d-d21f12099002","title":"Meet the mentor","notes":"","date":"2026-10-02","time":null,"amount":null,"kind":null,"category":null,"account":null,"timezone":"America/Los_Angeles"}</x:v>
      </x:c>
    </x:row>
    <x:row r="58" ht="132" customHeight="1">
      <x:c r="A58" s="7" t="str">
        <x:v>v2-finance-en-20</x:v>
      </x:c>
      <x:c r="B58" s="7" t="str">
        <x:v>finance</x:v>
      </x:c>
      <x:c r="C58" s="7" t="str">
        <x:v>Log 68 yuan spent on headphones today using WeChat.</x:v>
      </x:c>
      <x:c r="D58" s="7" t="str">
        <x:v>draft</x:v>
      </x:c>
      <x:c r="E58" s="7" t="str">
        <x:v>finance</x:v>
      </x:c>
      <x:c r="F58" s="7" t="str">
        <x:v>draft</x:v>
      </x:c>
      <x:c r="G58" s="7" t="str">
        <x:v>finance</x:v>
      </x:c>
      <x:c r="H58" s="8" t="n">
        <x:v>1</x:v>
      </x:c>
      <x:c r="I58" s="8" t="n">
        <x:v>6</x:v>
      </x:c>
      <x:c r="J58" s="8" t="n">
        <x:v>6</x:v>
      </x:c>
      <x:c r="K58" s="8" t="n">
        <x:v>1</x:v>
      </x:c>
      <x:c r="L58" s="8" t="n">
        <x:v>1</x:v>
      </x:c>
      <x:c r="M58" s="8" t="n">
        <x:v>1</x:v>
      </x:c>
      <x:c r="N58" s="7" t="str"/>
      <x:c r="O58" s="7" t="str">
        <x:v>{"status":"draft","module":"finance","title":{"containsAny":["headphone"]},"amount":"68","account":"WeChat","kind":"expense","date":"2026-10-02","category":"Shopping"}</x:v>
      </x:c>
      <x:c r="P58" s="7" t="str">
        <x:v>{"id":"96a3b7f9-a431-4b7b-aa06-8104e08ce828","title":"Headphones","notes":"","date":"2026-10-02","time":null,"amount":"68","kind":"expense","category":"Shopping","account":"WeChat","timezone":"America/Los_Angeles"}</x:v>
      </x:c>
    </x:row>
    <x:row r="59" ht="132" customHeight="1">
      <x:c r="A59" s="7" t="str">
        <x:v>v2-finance-en-28</x:v>
      </x:c>
      <x:c r="B59" s="7" t="str">
        <x:v>finance</x:v>
      </x:c>
      <x:c r="C59" s="7" t="str">
        <x:v>Log an 18 dollar book purchase paid with cash.</x:v>
      </x:c>
      <x:c r="D59" s="7" t="str">
        <x:v>clarification</x:v>
      </x:c>
      <x:c r="E59" s="7" t="str"/>
      <x:c r="F59" s="7" t="str">
        <x:v>clarification</x:v>
      </x:c>
      <x:c r="G59" s="7" t="str"/>
      <x:c r="H59" s="8" t="n">
        <x:v>1</x:v>
      </x:c>
      <x:c r="I59" s="8" t="n">
        <x:v>0</x:v>
      </x:c>
      <x:c r="J59" s="8" t="n">
        <x:v>0</x:v>
      </x:c>
      <x:c r="K59" s="8" t="n">
        <x:v>1</x:v>
      </x:c>
      <x:c r="L59" s="8" t="n">
        <x:v>0</x:v>
      </x:c>
      <x:c r="M59" s="8" t="n">
        <x:v>0</x:v>
      </x:c>
      <x:c r="N59" s="7" t="str"/>
      <x:c r="O59" s="7" t="str">
        <x:v>{"status":"clarification","module":null}</x:v>
      </x:c>
      <x:c r="P59" s="7" t="str">
        <x:v>{"status":"clarification","reason":"unsupported_currency","module":null,"draft":null,"fields":null}</x:v>
      </x:c>
    </x:row>
    <x:row r="60" ht="132" customHeight="1">
      <x:c r="A60" s="7" t="str">
        <x:v>v2-memo-en-22</x:v>
      </x:c>
      <x:c r="B60" s="7" t="str">
        <x:v>memo</x:v>
      </x:c>
      <x:c r="C60" s="7" t="str">
        <x:v>Note to self: prepare a budget estimate before purchasing the monitor.</x:v>
      </x:c>
      <x:c r="D60" s="7" t="str">
        <x:v>draft</x:v>
      </x:c>
      <x:c r="E60" s="7" t="str">
        <x:v>memo</x:v>
      </x:c>
      <x:c r="F60" s="7" t="str">
        <x:v>draft</x:v>
      </x:c>
      <x:c r="G60" s="7" t="str">
        <x:v>memo</x:v>
      </x:c>
      <x:c r="H60" s="8" t="n">
        <x:v>1</x:v>
      </x:c>
      <x:c r="I60" s="8" t="n">
        <x:v>2</x:v>
      </x:c>
      <x:c r="J60" s="8" t="n">
        <x:v>2</x:v>
      </x:c>
      <x:c r="K60" s="8" t="n">
        <x:v>1</x:v>
      </x:c>
      <x:c r="L60" s="8" t="n">
        <x:v>1</x:v>
      </x:c>
      <x:c r="M60" s="8" t="n">
        <x:v>1</x:v>
      </x:c>
      <x:c r="N60" s="7" t="str"/>
      <x:c r="O60" s="7" t="str">
        <x:v>{"status":"draft","module":"memo","title":{"containsAny":["budget","monitor"]},"date":null,"priority":null}</x:v>
      </x:c>
      <x:c r="P60" s="7" t="str">
        <x:v>{"id":"ee2e89e2-053d-4ece-80f7-9a4afebeda7f","title":"Prepare a budget estimate","notes":"before purchasing the monitor","dueDate":null,"timezone":"America/Los_Angeles","priority":null,"dateText":null,"warnings":["date_missing","priority_missing"]}</x:v>
      </x:c>
    </x:row>
    <x:row r="61" ht="132" customHeight="1">
      <x:c r="A61" s="7" t="str">
        <x:v>v2-finance-en-23</x:v>
      </x:c>
      <x:c r="B61" s="7" t="str">
        <x:v>finance</x:v>
      </x:c>
      <x:c r="C61" s="7" t="str">
        <x:v>Record 7 yuan for coffee today, paid with cash or WeChat; I cannot remember which.</x:v>
      </x:c>
      <x:c r="D61" s="7" t="str">
        <x:v>draft</x:v>
      </x:c>
      <x:c r="E61" s="7" t="str">
        <x:v>finance</x:v>
      </x:c>
      <x:c r="F61" s="7" t="str">
        <x:v>draft</x:v>
      </x:c>
      <x:c r="G61" s="7" t="str">
        <x:v>finance</x:v>
      </x:c>
      <x:c r="H61" s="8" t="n">
        <x:v>1</x:v>
      </x:c>
      <x:c r="I61" s="8" t="n">
        <x:v>6</x:v>
      </x:c>
      <x:c r="J61" s="8" t="n">
        <x:v>6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{"status":"draft","module":"finance","title":{"containsAny":["coffee"]},"amount":"7","account":null,"kind":"expense","date":"2026-10-02","category":"Food &amp; Drinks"}</x:v>
      </x:c>
      <x:c r="P61" s="7" t="str">
        <x:v>{"id":"1dbd860d-4ff1-41ff-ba76-7d7feaf13424","title":"Coffee","notes":"paid with cash or WeChat","date":"2026-10-02","time":null,"amount":"7","kind":"expense","category":"Food &amp; Drinks","account":null,"timezone":"America/Los_Angeles"}</x:v>
      </x:c>
    </x:row>
    <x:row r="62" ht="132" customHeight="1">
      <x:c r="A62" s="7" t="str">
        <x:v>v2-schedule-en-12</x:v>
      </x:c>
      <x:c r="B62" s="7" t="str">
        <x:v>schedule</x:v>
      </x:c>
      <x:c r="C62" s="7" t="str">
        <x:v>Add the statistics tutorial tomorrow, with no time specified.</x:v>
      </x:c>
      <x:c r="D62" s="7" t="str">
        <x:v>draft</x:v>
      </x:c>
      <x:c r="E62" s="7" t="str">
        <x:v>schedule</x:v>
      </x:c>
      <x:c r="F62" s="7" t="str">
        <x:v>draft</x:v>
      </x:c>
      <x:c r="G62" s="7" t="str">
        <x:v>schedule</x:v>
      </x:c>
      <x:c r="H62" s="8" t="n">
        <x:v>1</x:v>
      </x:c>
      <x:c r="I62" s="8" t="n">
        <x:v>2</x:v>
      </x:c>
      <x:c r="J62" s="8" t="n">
        <x:v>2</x:v>
      </x:c>
      <x:c r="K62" s="8" t="n">
        <x:v>1</x:v>
      </x:c>
      <x:c r="L62" s="8" t="n">
        <x:v>1</x:v>
      </x:c>
      <x:c r="M62" s="8" t="n">
        <x:v>1</x:v>
      </x:c>
      <x:c r="N62" s="7" t="str"/>
      <x:c r="O62" s="7" t="str">
        <x:v>{"status":"draft","module":"schedule","title":{"containsAny":["statistics"]},"date":"2026-10-03","time":null}</x:v>
      </x:c>
      <x:c r="P62" s="7" t="str">
        <x:v>{"id":"1ac4de35-9a9d-4b38-927a-07ebc38ee0f7","title":"Statistics Tutorial","notes":"","date":"2026-10-03","time":null,"amount":null,"kind":null,"category":null,"account":null,"timezone":"America/Los_Angeles"}</x:v>
      </x:c>
    </x:row>
    <x:row r="63" ht="132" customHeight="1">
      <x:c r="A63" s="7" t="str">
        <x:v>v2-health-en-09</x:v>
      </x:c>
      <x:c r="B63" s="7" t="str">
        <x:v>health</x:v>
      </x:c>
      <x:c r="C63" s="7" t="str">
        <x:v>Open Health.</x:v>
      </x:c>
      <x:c r="D63" s="7" t="str">
        <x:v>draft</x:v>
      </x:c>
      <x:c r="E63" s="7" t="str">
        <x:v>health</x:v>
      </x:c>
      <x:c r="F63" s="7" t="str">
        <x:v>draft</x:v>
      </x:c>
      <x:c r="G63" s="7" t="str">
        <x:v>health</x:v>
      </x:c>
      <x:c r="H63" s="8" t="n">
        <x:v>1</x:v>
      </x:c>
      <x:c r="I63" s="8" t="n">
        <x:v>0</x:v>
      </x:c>
      <x:c r="J63" s="8" t="n">
        <x:v>0</x:v>
      </x:c>
      <x:c r="K63" s="8" t="n">
        <x:v>1</x:v>
      </x:c>
      <x:c r="L63" s="8" t="n">
        <x:v>1</x:v>
      </x:c>
      <x:c r="M63" s="8" t="n">
        <x:v>1</x:v>
      </x:c>
      <x:c r="N63" s="7" t="str"/>
      <x:c r="O63" s="7" t="str">
        <x:v>{"status":"draft","module":"health"}</x:v>
      </x:c>
      <x:c r="P63" s="7" t="str">
        <x:v>{"id":"5f7f5e50-6d05-4d22-bb0f-3509f4c5b8b8","title":"View phone usage","notes":"","date":null,"time":null,"amount":null,"kind":null,"category":null,"account":null,"timezone":"America/Los_Angeles"}</x:v>
      </x:c>
    </x:row>
    <x:row r="64" ht="132" customHeight="1">
      <x:c r="A64" s="7" t="str">
        <x:v>v2-health-en-24</x:v>
      </x:c>
      <x:c r="B64" s="7" t="str">
        <x:v>health</x:v>
      </x:c>
      <x:c r="C64" s="7" t="str">
        <x:v>Save a water intake of 350 ml in the health tracker.</x:v>
      </x:c>
      <x:c r="D64" s="7" t="str">
        <x:v>clarification</x:v>
      </x:c>
      <x:c r="E64" s="7" t="str"/>
      <x:c r="F64" s="7" t="str">
        <x:v>clarification</x:v>
      </x:c>
      <x:c r="G64" s="7" t="str"/>
      <x:c r="H64" s="8" t="n">
        <x:v>1</x:v>
      </x:c>
      <x:c r="I64" s="8" t="n">
        <x:v>0</x:v>
      </x:c>
      <x:c r="J64" s="8" t="n">
        <x:v>0</x:v>
      </x:c>
      <x:c r="K64" s="8" t="n">
        <x:v>1</x:v>
      </x:c>
      <x:c r="L64" s="8" t="n">
        <x:v>0</x:v>
      </x:c>
      <x:c r="M64" s="8" t="n">
        <x:v>0</x:v>
      </x:c>
      <x:c r="N64" s="7" t="str"/>
      <x:c r="O64" s="7" t="str">
        <x:v>{"status":"clarification","module":null}</x:v>
      </x:c>
      <x:c r="P64" s="7" t="str">
        <x:v>{"status":"clarification","reason":"health_unsupported","module":null,"draft":null,"fields":null}</x:v>
      </x:c>
    </x:row>
    <x:row r="65" ht="132" customHeight="1">
      <x:c r="A65" s="7" t="str">
        <x:v>v2-schedule-en-17</x:v>
      </x:c>
      <x:c r="B65" s="7" t="str">
        <x:v>schedule</x:v>
      </x:c>
      <x:c r="C65" s="7" t="str">
        <x:v>Add a calendar appointment for the optician on 2026-02-30.</x:v>
      </x:c>
      <x:c r="D65" s="7" t="str">
        <x:v>draft</x:v>
      </x:c>
      <x:c r="E65" s="7" t="str">
        <x:v>schedule</x:v>
      </x:c>
      <x:c r="F65" s="7" t="str">
        <x:v>draft</x:v>
      </x:c>
      <x:c r="G65" s="7" t="str">
        <x:v>schedule</x:v>
      </x:c>
      <x:c r="H65" s="8" t="n">
        <x:v>1</x:v>
      </x:c>
      <x:c r="I65" s="8" t="n">
        <x:v>2</x:v>
      </x:c>
      <x:c r="J65" s="8" t="n">
        <x:v>2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{"status":"draft","module":"schedule","title":{"containsAny":["optician"]},"date":null,"time":null}</x:v>
      </x:c>
      <x:c r="P65" s="7" t="str">
        <x:v>{"id":"2a1ae966-ac2e-4aae-be0a-74b9bf3f0b16","title":"Appointment with Optician","notes":"","date":null,"time":null,"amount":null,"kind":null,"category":null,"account":null,"timezone":"America/Los_Angeles"}</x:v>
      </x:c>
    </x:row>
    <x:row r="66" ht="132" customHeight="1">
      <x:c r="A66" s="7" t="str">
        <x:v>v2-schedule-en-21</x:v>
      </x:c>
      <x:c r="B66" s="7" t="str">
        <x:v>schedule</x:v>
      </x:c>
      <x:c r="C66" s="7" t="str">
        <x:v>Put a finance review meeting next Wednesday at 15:20 on my calendar; this is not an expense.</x:v>
      </x:c>
      <x:c r="D66" s="7" t="str">
        <x:v>draft</x:v>
      </x:c>
      <x:c r="E66" s="7" t="str">
        <x:v>schedule</x:v>
      </x:c>
      <x:c r="F66" s="7" t="str">
        <x:v>draft</x:v>
      </x:c>
      <x:c r="G66" s="7" t="str">
        <x:v>schedule</x:v>
      </x:c>
      <x:c r="H66" s="8" t="n">
        <x:v>1</x:v>
      </x:c>
      <x:c r="I66" s="8" t="n">
        <x:v>2</x:v>
      </x:c>
      <x:c r="J66" s="8" t="n">
        <x:v>2</x:v>
      </x:c>
      <x:c r="K66" s="8" t="n">
        <x:v>1</x:v>
      </x:c>
      <x:c r="L66" s="8" t="n">
        <x:v>1</x:v>
      </x:c>
      <x:c r="M66" s="8" t="n">
        <x:v>1</x:v>
      </x:c>
      <x:c r="N66" s="7" t="str"/>
      <x:c r="O66" s="7" t="str">
        <x:v>{"status":"draft","module":"schedule","title":{"containsAny":["finance","review"]},"date":"2026-10-07","time":"15:20"}</x:v>
      </x:c>
      <x:c r="P66" s="7" t="str">
        <x:v>{"id":"cb989177-fac5-4ea4-83e1-90821373734d","title":"Finance Review Meeting","notes":"","date":"2026-10-07","time":"15:20","amount":null,"kind":null,"category":null,"account":null,"timezone":"America/Los_Angeles"}</x:v>
      </x:c>
    </x:row>
    <x:row r="67" ht="132" customHeight="1">
      <x:c r="A67" s="7" t="str">
        <x:v>v2-finance-en-15</x:v>
      </x:c>
      <x:c r="B67" s="7" t="str">
        <x:v>finance</x:v>
      </x:c>
      <x:c r="C67" s="7" t="str">
        <x:v>Log a bus fare of 0 yuan today in cash.</x:v>
      </x:c>
      <x:c r="D67" s="7" t="str">
        <x:v>draft</x:v>
      </x:c>
      <x:c r="E67" s="7" t="str">
        <x:v>finance</x:v>
      </x:c>
      <x:c r="F67" s="7" t="str">
        <x:v>draft</x:v>
      </x:c>
      <x:c r="G67" s="7" t="str">
        <x:v>finance</x:v>
      </x:c>
      <x:c r="H67" s="8" t="n">
        <x:v>1</x:v>
      </x:c>
      <x:c r="I67" s="8" t="n">
        <x:v>6</x:v>
      </x:c>
      <x:c r="J67" s="8" t="n">
        <x:v>6</x:v>
      </x:c>
      <x:c r="K67" s="8" t="n">
        <x:v>1</x:v>
      </x:c>
      <x:c r="L67" s="8" t="n">
        <x:v>1</x:v>
      </x:c>
      <x:c r="M67" s="8" t="n">
        <x:v>1</x:v>
      </x:c>
      <x:c r="N67" s="7" t="str"/>
      <x:c r="O67" s="7" t="str">
        <x:v>{"status":"draft","module":"finance","title":{"containsAny":["bus","fare"]},"amount":null,"account":"Cash","kind":"expense","date":"2026-10-02","category":"Transport"}</x:v>
      </x:c>
      <x:c r="P67" s="7" t="str">
        <x:v>{"id":"9ca4e980-c8d9-4310-afec-d8f4efa4c0dc","title":"Bus Fare","notes":"0 yuan","date":"2026-10-02","time":null,"amount":null,"kind":"expense","category":"Transport","account":"Cash","timezone":"America/Los_Angeles"}</x:v>
      </x:c>
    </x:row>
    <x:row r="68" ht="132" customHeight="1">
      <x:c r="A68" s="7" t="str">
        <x:v>v2-schedule-en-23</x:v>
      </x:c>
      <x:c r="B68" s="7" t="str">
        <x:v>schedule</x:v>
      </x:c>
      <x:c r="C68" s="7" t="str">
        <x:v>Add a music practice event for tomorrow at 3:30 pm.</x:v>
      </x:c>
      <x:c r="D68" s="7" t="str">
        <x:v>draft</x:v>
      </x:c>
      <x:c r="E68" s="7" t="str">
        <x:v>schedule</x:v>
      </x:c>
      <x:c r="F68" s="7" t="str">
        <x:v>draft</x:v>
      </x:c>
      <x:c r="G68" s="7" t="str">
        <x:v>schedule</x:v>
      </x:c>
      <x:c r="H68" s="8" t="n">
        <x:v>1</x:v>
      </x:c>
      <x:c r="I68" s="8" t="n">
        <x:v>2</x:v>
      </x:c>
      <x:c r="J68" s="8" t="n">
        <x:v>2</x:v>
      </x:c>
      <x:c r="K68" s="8" t="n">
        <x:v>1</x:v>
      </x:c>
      <x:c r="L68" s="8" t="n">
        <x:v>1</x:v>
      </x:c>
      <x:c r="M68" s="8" t="n">
        <x:v>1</x:v>
      </x:c>
      <x:c r="N68" s="7" t="str"/>
      <x:c r="O68" s="7" t="str">
        <x:v>{"status":"draft","module":"schedule","title":{"containsAny":["music","practice"]},"date":"2026-10-03","time":"15:30"}</x:v>
      </x:c>
      <x:c r="P68" s="7" t="str">
        <x:v>{"id":"5d11f24c-2847-4a85-86dd-4c0549dd9416","title":"Music Practice","notes":"","date":"2026-10-03","time":"15:30","amount":null,"kind":null,"category":null,"account":null,"timezone":"America/Los_Angeles"}</x:v>
      </x:c>
    </x:row>
    <x:row r="69" ht="132" customHeight="1">
      <x:c r="A69" s="7" t="str">
        <x:v>v2-memo-en-09</x:v>
      </x:c>
      <x:c r="B69" s="7" t="str">
        <x:v>memo</x:v>
      </x:c>
      <x:c r="C69" s="7" t="str">
        <x:v>Add a task to finish the ecology worksheet on 2026-10-16, high priority.</x:v>
      </x:c>
      <x:c r="D69" s="7" t="str">
        <x:v>draft</x:v>
      </x:c>
      <x:c r="E69" s="7" t="str">
        <x:v>memo</x:v>
      </x:c>
      <x:c r="F69" s="7" t="str">
        <x:v>draft</x:v>
      </x:c>
      <x:c r="G69" s="7" t="str">
        <x:v>memo</x:v>
      </x:c>
      <x:c r="H69" s="8" t="n">
        <x:v>1</x:v>
      </x:c>
      <x:c r="I69" s="8" t="n">
        <x:v>2</x:v>
      </x:c>
      <x:c r="J69" s="8" t="n">
        <x:v>2</x:v>
      </x:c>
      <x:c r="K69" s="8" t="n">
        <x:v>1</x:v>
      </x:c>
      <x:c r="L69" s="8" t="n">
        <x:v>1</x:v>
      </x:c>
      <x:c r="M69" s="8" t="n">
        <x:v>1</x:v>
      </x:c>
      <x:c r="N69" s="7" t="str"/>
      <x:c r="O69" s="7" t="str">
        <x:v>{"status":"draft","module":"memo","title":{"containsAny":["ecology","worksheet"]},"date":"2026-10-16","priority":"important"}</x:v>
      </x:c>
      <x:c r="P69" s="7" t="str">
        <x:v>{"id":"1b86c567-2dc2-4f90-bda5-63bbfd4a23dd","title":"Finish the ecology worksheet","notes":"","dueDate":"2026-10-16","timezone":"America/Los_Angeles","priority":"important","dateText":"2026-10-16","warnings":[]}</x:v>
      </x:c>
    </x:row>
    <x:row r="70" ht="132" customHeight="1">
      <x:c r="A70" s="7" t="str">
        <x:v>v2-finance-en-05</x:v>
      </x:c>
      <x:c r="B70" s="7" t="str">
        <x:v>finance</x:v>
      </x:c>
      <x:c r="C70" s="7" t="str">
        <x:v>Log 180 yuan from a part-time job today, received in cash.</x:v>
      </x:c>
      <x:c r="D70" s="7" t="str">
        <x:v>draft</x:v>
      </x:c>
      <x:c r="E70" s="7" t="str">
        <x:v>finance</x:v>
      </x:c>
      <x:c r="F70" s="7" t="str">
        <x:v>draft</x:v>
      </x:c>
      <x:c r="G70" s="7" t="str">
        <x:v>finance</x:v>
      </x:c>
      <x:c r="H70" s="8" t="n">
        <x:v>1</x:v>
      </x:c>
      <x:c r="I70" s="8" t="n">
        <x:v>6</x:v>
      </x:c>
      <x:c r="J70" s="8" t="n">
        <x:v>6</x:v>
      </x:c>
      <x:c r="K70" s="8" t="n">
        <x:v>1</x:v>
      </x:c>
      <x:c r="L70" s="8" t="n">
        <x:v>1</x:v>
      </x:c>
      <x:c r="M70" s="8" t="n">
        <x:v>1</x:v>
      </x:c>
      <x:c r="N70" s="7" t="str"/>
      <x:c r="O70" s="7" t="str">
        <x:v>{"status":"draft","module":"finance","title":{"containsAny":["part-time","job"]},"amount":"180","account":"Cash","kind":"income","date":"2026-10-02","category":"Part-time Job"}</x:v>
      </x:c>
      <x:c r="P70" s="7" t="str">
        <x:v>{"id":"c030d7ec-b7cc-4894-a11f-7432ac139d81","title":"Part-time Job","notes":"","date":"2026-10-02","time":null,"amount":"180","kind":"income","category":"Part-time Job","account":"Cash","timezone":"America/Los_Angeles"}</x:v>
      </x:c>
    </x:row>
    <x:row r="71" ht="132" customHeight="1">
      <x:c r="A71" s="7" t="str">
        <x:v>v2-health-en-10</x:v>
      </x:c>
      <x:c r="B71" s="7" t="str">
        <x:v>health</x:v>
      </x:c>
      <x:c r="C71" s="7" t="str">
        <x:v>Can I view screen time before starting my homework?</x:v>
      </x:c>
      <x:c r="D71" s="7" t="str">
        <x:v>draft</x:v>
      </x:c>
      <x:c r="E71" s="7" t="str">
        <x:v>health</x:v>
      </x:c>
      <x:c r="F71" s="7" t="str">
        <x:v>draft</x:v>
      </x:c>
      <x:c r="G71" s="7" t="str">
        <x:v>health</x:v>
      </x:c>
      <x:c r="H71" s="8" t="n">
        <x:v>1</x:v>
      </x:c>
      <x:c r="I71" s="8" t="n">
        <x:v>0</x:v>
      </x:c>
      <x:c r="J71" s="8" t="n">
        <x:v>0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{"status":"draft","module":"health"}</x:v>
      </x:c>
      <x:c r="P71" s="7" t="str">
        <x:v>{"id":"39b130a0-4e1e-42c2-94b6-17cbf17db396","title":"View phone usage","notes":"before starting homework","date":null,"time":null,"amount":null,"kind":null,"category":null,"account":null,"timezone":"America/Los_Angeles"}</x:v>
      </x:c>
    </x:row>
    <x:row r="72" ht="132" customHeight="1">
      <x:c r="A72" s="7" t="str">
        <x:v>v2-health-en-14</x:v>
      </x:c>
      <x:c r="B72" s="7" t="str">
        <x:v>health</x:v>
      </x:c>
      <x:c r="C72" s="7" t="str">
        <x:v>Open today's screen time summary, please.</x:v>
      </x:c>
      <x:c r="D72" s="7" t="str">
        <x:v>draft</x:v>
      </x:c>
      <x:c r="E72" s="7" t="str">
        <x:v>health</x:v>
      </x:c>
      <x:c r="F72" s="7" t="str">
        <x:v>draft</x:v>
      </x:c>
      <x:c r="G72" s="7" t="str">
        <x:v>health</x:v>
      </x:c>
      <x:c r="H72" s="8" t="n">
        <x:v>1</x:v>
      </x:c>
      <x:c r="I72" s="8" t="n">
        <x:v>0</x:v>
      </x:c>
      <x:c r="J72" s="8" t="n">
        <x:v>0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{"status":"draft","module":"health"}</x:v>
      </x:c>
      <x:c r="P72" s="7" t="str">
        <x:v>{"id":"a83280da-a065-47df-9ae8-2b1b9f605eab","title":"View phone usage","notes":"","date":"2026-10-02","time":null,"amount":null,"kind":null,"category":null,"account":null,"timezone":"America/Los_Angeles"}</x:v>
      </x:c>
    </x:row>
    <x:row r="73" ht="132" customHeight="1">
      <x:c r="A73" s="7" t="str">
        <x:v>v2-schedule-en-13</x:v>
      </x:c>
      <x:c r="B73" s="7" t="str">
        <x:v>schedule</x:v>
      </x:c>
      <x:c r="C73" s="7" t="str">
        <x:v>Add a clinic appointment at 08:40, date to be decided.</x:v>
      </x:c>
      <x:c r="D73" s="7" t="str">
        <x:v>draft</x:v>
      </x:c>
      <x:c r="E73" s="7" t="str">
        <x:v>schedule</x:v>
      </x:c>
      <x:c r="F73" s="7" t="str">
        <x:v>draft</x:v>
      </x:c>
      <x:c r="G73" s="7" t="str">
        <x:v>schedule</x:v>
      </x:c>
      <x:c r="H73" s="8" t="n">
        <x:v>1</x:v>
      </x:c>
      <x:c r="I73" s="8" t="n">
        <x:v>2</x:v>
      </x:c>
      <x:c r="J73" s="8" t="n">
        <x:v>2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{"status":"draft","module":"schedule","title":{"containsAny":["clinic"]},"date":null,"time":"08:40"}</x:v>
      </x:c>
      <x:c r="P73" s="7" t="str">
        <x:v>{"id":"c7e61465-5490-461f-b7b4-5513cef19181","title":"Clinic Appointment","notes":"","date":null,"time":"08:40","amount":null,"kind":null,"category":null,"account":null,"timezone":"America/Los_Angeles"}</x:v>
      </x:c>
    </x:row>
    <x:row r="74" ht="132" customHeight="1">
      <x:c r="A74" s="7" t="str">
        <x:v>v2-finance-en-24</x:v>
      </x:c>
      <x:c r="B74" s="7" t="str">
        <x:v>finance</x:v>
      </x:c>
      <x:c r="C74" s="7" t="str">
        <x:v>Log an expense of 64 yuan today for tea and a notebook together, paid in cash.</x:v>
      </x:c>
      <x:c r="D74" s="7" t="str">
        <x:v>draft</x:v>
      </x:c>
      <x:c r="E74" s="7" t="str">
        <x:v>finance</x:v>
      </x:c>
      <x:c r="F74" s="7" t="str">
        <x:v>draft</x:v>
      </x:c>
      <x:c r="G74" s="7" t="str">
        <x:v>finance</x:v>
      </x:c>
      <x:c r="H74" s="8" t="n">
        <x:v>1</x:v>
      </x:c>
      <x:c r="I74" s="8" t="n">
        <x:v>5</x:v>
      </x:c>
      <x:c r="J74" s="8" t="n">
        <x:v>5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{"status":"draft","module":"finance","title":{"containsAny":["tea","notebook"]},"amount":"64","account":"Cash","kind":"expense","date":"2026-10-02"}</x:v>
      </x:c>
      <x:c r="P74" s="7" t="str">
        <x:v>{"id":"95340f00-edd2-4edb-a7d3-0d9cfa8059ad","title":"Tea and Notebook","notes":"Paid in cash","date":"2026-10-02","time":null,"amount":"64","kind":"expense","category":"Shopping","account":"Cash","timezone":"America/Los_Angeles"}</x:v>
      </x:c>
    </x:row>
    <x:row r="75" ht="132" customHeight="1">
      <x:c r="A75" s="7" t="str">
        <x:v>v2-schedule-en-16</x:v>
      </x:c>
      <x:c r="B75" s="7" t="str">
        <x:v>schedule</x:v>
      </x:c>
      <x:c r="C75" s="7" t="str">
        <x:v>Create an event for the history seminar, not tomorrow.</x:v>
      </x:c>
      <x:c r="D75" s="7" t="str">
        <x:v>draft</x:v>
      </x:c>
      <x:c r="E75" s="7" t="str">
        <x:v>schedule</x:v>
      </x:c>
      <x:c r="F75" s="7" t="str">
        <x:v>draft</x:v>
      </x:c>
      <x:c r="G75" s="7" t="str">
        <x:v>schedule</x:v>
      </x:c>
      <x:c r="H75" s="8" t="n">
        <x:v>1</x:v>
      </x:c>
      <x:c r="I75" s="8" t="n">
        <x:v>2</x:v>
      </x:c>
      <x:c r="J75" s="8" t="n">
        <x:v>2</x:v>
      </x:c>
      <x:c r="K75" s="8" t="n">
        <x:v>1</x:v>
      </x:c>
      <x:c r="L75" s="8" t="n">
        <x:v>1</x:v>
      </x:c>
      <x:c r="M75" s="8" t="n">
        <x:v>1</x:v>
      </x:c>
      <x:c r="N75" s="7" t="str"/>
      <x:c r="O75" s="7" t="str">
        <x:v>{"status":"draft","module":"schedule","title":{"containsAny":["history"]},"date":null,"time":null}</x:v>
      </x:c>
      <x:c r="P75" s="7" t="str">
        <x:v>{"id":"d379eed1-f277-4534-a2fe-4a1d69817e73","title":"History Seminar Event","notes":"not tomorrow","date":null,"time":null,"amount":null,"kind":null,"category":null,"account":null,"timezone":"America/Los_Angeles"}</x:v>
      </x:c>
    </x:row>
    <x:row r="76" ht="132" customHeight="1">
      <x:c r="A76" s="7" t="str">
        <x:v>v2-schedule-en-18</x:v>
      </x:c>
      <x:c r="B76" s="7" t="str">
        <x:v>schedule</x:v>
      </x:c>
      <x:c r="C76" s="7" t="str">
        <x:v>Schedule a planetarium show tomorrow at 25:15.</x:v>
      </x:c>
      <x:c r="D76" s="7" t="str">
        <x:v>draft</x:v>
      </x:c>
      <x:c r="E76" s="7" t="str">
        <x:v>schedule</x:v>
      </x:c>
      <x:c r="F76" s="7" t="str">
        <x:v>draft</x:v>
      </x:c>
      <x:c r="G76" s="7" t="str">
        <x:v>schedule</x:v>
      </x:c>
      <x:c r="H76" s="8" t="n">
        <x:v>1</x:v>
      </x:c>
      <x:c r="I76" s="8" t="n">
        <x:v>2</x:v>
      </x:c>
      <x:c r="J76" s="8" t="n">
        <x:v>2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{"status":"draft","module":"schedule","title":{"containsAny":["planetarium"]},"date":"2026-10-03","time":null}</x:v>
      </x:c>
      <x:c r="P76" s="7" t="str">
        <x:v>{"id":"cb0a435a-d26b-42f3-8cc6-c4bf7eac8231","title":"Planetarium Show","notes":"","date":"2026-10-03","time":null,"amount":null,"kind":null,"category":null,"account":null,"timezone":"America/Los_Angeles"}</x:v>
      </x:c>
    </x:row>
    <x:row r="77" ht="132" customHeight="1">
      <x:c r="A77" s="7" t="str">
        <x:v>v2-memo-en-07</x:v>
      </x:c>
      <x:c r="B77" s="7" t="str">
        <x:v>memo</x:v>
      </x:c>
      <x:c r="C77" s="7" t="str">
        <x:v>Add a low priority task: organize the audio recordings in 4 days.</x:v>
      </x:c>
      <x:c r="D77" s="7" t="str">
        <x:v>draft</x:v>
      </x:c>
      <x:c r="E77" s="7" t="str">
        <x:v>memo</x:v>
      </x:c>
      <x:c r="F77" s="7" t="str">
        <x:v>draft</x:v>
      </x:c>
      <x:c r="G77" s="7" t="str">
        <x:v>memo</x:v>
      </x:c>
      <x:c r="H77" s="8" t="n">
        <x:v>1</x:v>
      </x:c>
      <x:c r="I77" s="8" t="n">
        <x:v>2</x:v>
      </x:c>
      <x:c r="J77" s="8" t="n">
        <x:v>2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{"status":"draft","module":"memo","title":{"containsAny":["audio","recording"]},"date":"2026-10-06","priority":"normal"}</x:v>
      </x:c>
      <x:c r="P77" s="7" t="str">
        <x:v>{"id":"793c7ff9-ac99-4a55-a801-1fb69102df83","title":"Organize Audio Recordings","notes":"","dueDate":"2026-10-06","timezone":"America/Los_Angeles","priority":"normal","dateText":"in 4 days","warnings":[]}</x:v>
      </x:c>
    </x:row>
    <x:row r="78" ht="132" customHeight="1">
      <x:c r="A78" s="7" t="str">
        <x:v>v2-health-en-22</x:v>
      </x:c>
      <x:c r="B78" s="7" t="str">
        <x:v>health</x:v>
      </x:c>
      <x:c r="C78" s="7" t="str">
        <x:v>Log that I slept for 7 hours last night in Health.</x:v>
      </x:c>
      <x:c r="D78" s="7" t="str">
        <x:v>clarification</x:v>
      </x:c>
      <x:c r="E78" s="7" t="str"/>
      <x:c r="F78" s="7" t="str">
        <x:v>clarification</x:v>
      </x:c>
      <x:c r="G78" s="7" t="str"/>
      <x:c r="H78" s="8" t="n">
        <x:v>1</x:v>
      </x:c>
      <x:c r="I78" s="8" t="n">
        <x:v>0</x:v>
      </x:c>
      <x:c r="J78" s="8" t="n">
        <x:v>0</x:v>
      </x:c>
      <x:c r="K78" s="8" t="n">
        <x:v>1</x:v>
      </x:c>
      <x:c r="L78" s="8" t="n">
        <x:v>0</x:v>
      </x:c>
      <x:c r="M78" s="8" t="n">
        <x:v>0</x:v>
      </x:c>
      <x:c r="N78" s="7" t="str"/>
      <x:c r="O78" s="7" t="str">
        <x:v>{"status":"clarification","module":null}</x:v>
      </x:c>
      <x:c r="P78" s="7" t="str">
        <x:v>{"status":"clarification","reason":"health_unsupported","module":null,"draft":null,"fields":null}</x:v>
      </x:c>
    </x:row>
    <x:row r="79" ht="132" customHeight="1">
      <x:c r="A79" s="7" t="str">
        <x:v>v2-health-en-03</x:v>
      </x:c>
      <x:c r="B79" s="7" t="str">
        <x:v>health</x:v>
      </x:c>
      <x:c r="C79" s="7" t="str">
        <x:v>Display today's app usage report.</x:v>
      </x:c>
      <x:c r="D79" s="7" t="str">
        <x:v>draft</x:v>
      </x:c>
      <x:c r="E79" s="7" t="str">
        <x:v>health</x:v>
      </x:c>
      <x:c r="F79" s="7" t="str">
        <x:v>draft</x:v>
      </x:c>
      <x:c r="G79" s="7" t="str">
        <x:v>health</x:v>
      </x:c>
      <x:c r="H79" s="8" t="n">
        <x:v>1</x:v>
      </x:c>
      <x:c r="I79" s="8" t="n">
        <x:v>0</x:v>
      </x:c>
      <x:c r="J79" s="8" t="n">
        <x:v>0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{"status":"draft","module":"health"}</x:v>
      </x:c>
      <x:c r="P79" s="7" t="str">
        <x:v>{"id":"0360fda6-8cbf-4f94-9c45-781bc37c920c","title":"View phone usage","notes":"","date":"2026-10-02","time":null,"amount":null,"kind":null,"category":null,"account":null,"timezone":"America/Los_Angeles"}</x:v>
      </x:c>
    </x:row>
    <x:row r="80" ht="132" customHeight="1">
      <x:c r="A80" s="7" t="str">
        <x:v>v2-finance-en-04</x:v>
      </x:c>
      <x:c r="B80" s="7" t="str">
        <x:v>finance</x:v>
      </x:c>
      <x:c r="C80" s="7" t="str">
        <x:v>Record 3600 yuan of scholarship income today, paid into my bank card.</x:v>
      </x:c>
      <x:c r="D80" s="7" t="str">
        <x:v>draft</x:v>
      </x:c>
      <x:c r="E80" s="7" t="str">
        <x:v>finance</x:v>
      </x:c>
      <x:c r="F80" s="7" t="str">
        <x:v>draft</x:v>
      </x:c>
      <x:c r="G80" s="7" t="str">
        <x:v>finance</x:v>
      </x:c>
      <x:c r="H80" s="8" t="n">
        <x:v>1</x:v>
      </x:c>
      <x:c r="I80" s="8" t="n">
        <x:v>6</x:v>
      </x:c>
      <x:c r="J80" s="8" t="n">
        <x:v>6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{"status":"draft","module":"finance","title":{"containsAny":["scholarship"]},"amount":"3600","account":"Bank Card","kind":"income","date":"2026-10-02","category":"Scholarship"}</x:v>
      </x:c>
      <x:c r="P80" s="7" t="str">
        <x:v>{"id":"412e955c-cf93-4358-9f63-b1bb1edfc8c6","title":"Scholarship Income","notes":"","date":"2026-10-02","time":null,"amount":"3600","kind":"income","category":"Scholarship","account":"Bank Card","timezone":"America/Los_Angeles"}</x:v>
      </x:c>
    </x:row>
    <x:row r="81" ht="132" customHeight="1">
      <x:c r="A81" s="7" t="str">
        <x:v>v2-finance-en-13</x:v>
      </x:c>
      <x:c r="B81" s="7" t="str">
        <x:v>finance</x:v>
      </x:c>
      <x:c r="C81" s="7" t="str">
        <x:v>Log 14 yuan spent on tea today; I did not specify an account.</x:v>
      </x:c>
      <x:c r="D81" s="7" t="str">
        <x:v>draft</x:v>
      </x:c>
      <x:c r="E81" s="7" t="str">
        <x:v>finance</x:v>
      </x:c>
      <x:c r="F81" s="7" t="str">
        <x:v>draft</x:v>
      </x:c>
      <x:c r="G81" s="7" t="str">
        <x:v>finance</x:v>
      </x:c>
      <x:c r="H81" s="8" t="n">
        <x:v>1</x:v>
      </x:c>
      <x:c r="I81" s="8" t="n">
        <x:v>6</x:v>
      </x:c>
      <x:c r="J81" s="8" t="n">
        <x:v>6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{"status":"draft","module":"finance","title":{"containsAny":["tea"]},"amount":"14","account":null,"kind":"expense","date":"2026-10-02","category":"Food &amp; Drinks"}</x:v>
      </x:c>
      <x:c r="P81" s="7" t="str">
        <x:v>{"id":"54396305-9a17-48e9-af86-cc7028503a7b","title":"Tea","notes":"","date":"2026-10-02","time":null,"amount":"14","kind":"expense","category":"Food &amp; Drinks","account":null,"timezone":"America/Los_Angeles"}</x:v>
      </x:c>
    </x:row>
    <x:row r="82" ht="132" customHeight="1">
      <x:c r="A82" s="7" t="str">
        <x:v>v2-finance-en-02</x:v>
      </x:c>
      <x:c r="B82" s="7" t="str">
        <x:v>finance</x:v>
      </x:c>
      <x:c r="C82" s="7" t="str">
        <x:v>Record a subway fare of 6 yuan today using WeChat.</x:v>
      </x:c>
      <x:c r="D82" s="7" t="str">
        <x:v>draft</x:v>
      </x:c>
      <x:c r="E82" s="7" t="str">
        <x:v>finance</x:v>
      </x:c>
      <x:c r="F82" s="7" t="str">
        <x:v>draft</x:v>
      </x:c>
      <x:c r="G82" s="7" t="str">
        <x:v>finance</x:v>
      </x:c>
      <x:c r="H82" s="8" t="n">
        <x:v>1</x:v>
      </x:c>
      <x:c r="I82" s="8" t="n">
        <x:v>6</x:v>
      </x:c>
      <x:c r="J82" s="8" t="n">
        <x:v>6</x:v>
      </x:c>
      <x:c r="K82" s="8" t="n">
        <x:v>1</x:v>
      </x:c>
      <x:c r="L82" s="8" t="n">
        <x:v>1</x:v>
      </x:c>
      <x:c r="M82" s="8" t="n">
        <x:v>1</x:v>
      </x:c>
      <x:c r="N82" s="7" t="str"/>
      <x:c r="O82" s="7" t="str">
        <x:v>{"status":"draft","module":"finance","title":{"containsAny":["subway","fare"]},"amount":"6","account":"WeChat","kind":"expense","date":"2026-10-02","category":"Transport"}</x:v>
      </x:c>
      <x:c r="P82" s="7" t="str">
        <x:v>{"id":"9d0a6a50-17e4-4905-983f-2260e7c1d3b5","title":"Subway Fare","notes":"","date":"2026-10-02","time":null,"amount":"6","kind":"expense","category":"Transport","account":"WeChat","timezone":"America/Los_Angeles"}</x:v>
      </x:c>
    </x:row>
    <x:row r="83" ht="132" customHeight="1">
      <x:c r="A83" s="7" t="str">
        <x:v>v2-schedule-en-05</x:v>
      </x:c>
      <x:c r="B83" s="7" t="str">
        <x:v>schedule</x:v>
      </x:c>
      <x:c r="C83" s="7" t="str">
        <x:v>Add a dentist appointment on 2026-10-21 at 16:25.</x:v>
      </x:c>
      <x:c r="D83" s="7" t="str">
        <x:v>draft</x:v>
      </x:c>
      <x:c r="E83" s="7" t="str">
        <x:v>schedule</x:v>
      </x:c>
      <x:c r="F83" s="7" t="str">
        <x:v>draft</x:v>
      </x:c>
      <x:c r="G83" s="7" t="str">
        <x:v>schedule</x:v>
      </x:c>
      <x:c r="H83" s="8" t="n">
        <x:v>1</x:v>
      </x:c>
      <x:c r="I83" s="8" t="n">
        <x:v>2</x:v>
      </x:c>
      <x:c r="J83" s="8" t="n">
        <x:v>2</x:v>
      </x:c>
      <x:c r="K83" s="8" t="n">
        <x:v>1</x:v>
      </x:c>
      <x:c r="L83" s="8" t="n">
        <x:v>1</x:v>
      </x:c>
      <x:c r="M83" s="8" t="n">
        <x:v>1</x:v>
      </x:c>
      <x:c r="N83" s="7" t="str"/>
      <x:c r="O83" s="7" t="str">
        <x:v>{"status":"draft","module":"schedule","title":{"containsAny":["dentist"]},"date":"2026-10-21","time":"16:25"}</x:v>
      </x:c>
      <x:c r="P83" s="7" t="str">
        <x:v>{"id":"468042ad-88bb-4d92-94c6-741e22af2bd6","title":"Dentist Appointment","notes":"","date":"2026-10-21","time":"16:25","amount":null,"kind":null,"category":null,"account":null,"timezone":"America/Los_Angeles"}</x:v>
      </x:c>
    </x:row>
    <x:row r="84" ht="132" customHeight="1">
      <x:c r="A84" s="7" t="str">
        <x:v>v2-schedule-en-04</x:v>
      </x:c>
      <x:c r="B84" s="7" t="str">
        <x:v>schedule</x:v>
      </x:c>
      <x:c r="C84" s="7" t="str">
        <x:v>Schedule a museum visit next Saturday at 10am.</x:v>
      </x:c>
      <x:c r="D84" s="7" t="str">
        <x:v>draft</x:v>
      </x:c>
      <x:c r="E84" s="7" t="str">
        <x:v>schedule</x:v>
      </x:c>
      <x:c r="F84" s="7" t="str">
        <x:v>draft</x:v>
      </x:c>
      <x:c r="G84" s="7" t="str">
        <x:v>schedule</x:v>
      </x:c>
      <x:c r="H84" s="8" t="n">
        <x:v>1</x:v>
      </x:c>
      <x:c r="I84" s="8" t="n">
        <x:v>2</x:v>
      </x:c>
      <x:c r="J84" s="8" t="n">
        <x:v>2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{"status":"draft","module":"schedule","title":{"containsAny":["museum"]},"date":"2026-10-10","time":"10:00"}</x:v>
      </x:c>
      <x:c r="P84" s="7" t="str">
        <x:v>{"id":"90bec0a6-a723-4d0a-933b-39710958eeee","title":"Museum Visit","notes":"","date":"2026-10-10","time":"10:00","amount":null,"kind":null,"category":null,"account":null,"timezone":"America/Los_Angeles"}</x:v>
      </x:c>
    </x:row>
    <x:row r="85" ht="132" customHeight="1">
      <x:c r="A85" s="7" t="str">
        <x:v>v2-memo-en-06</x:v>
      </x:c>
      <x:c r="B85" s="7" t="str">
        <x:v>memo</x:v>
      </x:c>
      <x:c r="C85" s="7" t="str">
        <x:v>Buy a bicycle lock tomorrow; make it a to-do, not an expense.</x:v>
      </x:c>
      <x:c r="D85" s="7" t="str">
        <x:v>draft</x:v>
      </x:c>
      <x:c r="E85" s="7" t="str">
        <x:v>memo</x:v>
      </x:c>
      <x:c r="F85" s="7" t="str">
        <x:v>draft</x:v>
      </x:c>
      <x:c r="G85" s="7" t="str">
        <x:v>memo</x:v>
      </x:c>
      <x:c r="H85" s="8" t="n">
        <x:v>1</x:v>
      </x:c>
      <x:c r="I85" s="8" t="n">
        <x:v>2</x:v>
      </x:c>
      <x:c r="J85" s="8" t="n">
        <x:v>2</x:v>
      </x:c>
      <x:c r="K85" s="8" t="n">
        <x:v>1</x:v>
      </x:c>
      <x:c r="L85" s="8" t="n">
        <x:v>1</x:v>
      </x:c>
      <x:c r="M85" s="8" t="n">
        <x:v>1</x:v>
      </x:c>
      <x:c r="N85" s="7" t="str"/>
      <x:c r="O85" s="7" t="str">
        <x:v>{"status":"draft","module":"memo","title":{"containsAny":["bicycle","lock"]},"date":"2026-10-03","priority":null}</x:v>
      </x:c>
      <x:c r="P85" s="7" t="str">
        <x:v>{"id":"32feb751-7d4b-43fb-a47b-593aad236b48","title":"Buy a bicycle lock","notes":"tomorrow","dueDate":"2026-10-03","timezone":"America/Los_Angeles","priority":null,"dateText":"tomorrow","warnings":["priority_missing"]}</x:v>
      </x:c>
    </x:row>
    <x:row r="86" ht="132" customHeight="1">
      <x:c r="A86" s="7" t="str">
        <x:v>v2-health-en-19</x:v>
      </x:c>
      <x:c r="B86" s="7" t="str">
        <x:v>health</x:v>
      </x:c>
      <x:c r="C86" s="7" t="str">
        <x:v>Show my screen time from yesterday morning.</x:v>
      </x:c>
      <x:c r="D86" s="7" t="str">
        <x:v>clarification</x:v>
      </x:c>
      <x:c r="E86" s="7" t="str"/>
      <x:c r="F86" s="7" t="str">
        <x:v>clarification</x:v>
      </x:c>
      <x:c r="G86" s="7" t="str"/>
      <x:c r="H86" s="8" t="n">
        <x:v>1</x:v>
      </x:c>
      <x:c r="I86" s="8" t="n">
        <x:v>0</x:v>
      </x:c>
      <x:c r="J86" s="8" t="n">
        <x:v>0</x:v>
      </x:c>
      <x:c r="K86" s="8" t="n">
        <x:v>1</x:v>
      </x:c>
      <x:c r="L86" s="8" t="n">
        <x:v>0</x:v>
      </x:c>
      <x:c r="M86" s="8" t="n">
        <x:v>0</x:v>
      </x:c>
      <x:c r="N86" s="7" t="str"/>
      <x:c r="O86" s="7" t="str">
        <x:v>{"status":"clarification","module":null}</x:v>
      </x:c>
      <x:c r="P86" s="7" t="str">
        <x:v>{"status":"clarification","reason":"health_today_only","module":null,"draft":null,"fields":null}</x:v>
      </x:c>
    </x:row>
    <x:row r="87" ht="132" customHeight="1">
      <x:c r="A87" s="7" t="str">
        <x:v>v2-health-en-15</x:v>
      </x:c>
      <x:c r="B87" s="7" t="str">
        <x:v>health</x:v>
      </x:c>
      <x:c r="C87" s="7" t="str">
        <x:v>Show screen-time data without creating a task.</x:v>
      </x:c>
      <x:c r="D87" s="7" t="str">
        <x:v>draft</x:v>
      </x:c>
      <x:c r="E87" s="7" t="str">
        <x:v>health</x:v>
      </x:c>
      <x:c r="F87" s="7" t="str">
        <x:v>draft</x:v>
      </x:c>
      <x:c r="G87" s="7" t="str">
        <x:v>health</x:v>
      </x:c>
      <x:c r="H87" s="8" t="n">
        <x:v>1</x:v>
      </x:c>
      <x:c r="I87" s="8" t="n">
        <x:v>0</x:v>
      </x:c>
      <x:c r="J87" s="8" t="n">
        <x:v>0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{"status":"draft","module":"health"}</x:v>
      </x:c>
      <x:c r="P87" s="7" t="str">
        <x:v>{"id":"65c3c033-73ea-42ca-b659-49f338df8190","title":"View phone usage","notes":"","date":null,"time":null,"amount":null,"kind":null,"category":null,"account":null,"timezone":"America/Los_Angeles"}</x:v>
      </x:c>
    </x:row>
    <x:row r="88" ht="132" customHeight="1">
      <x:c r="A88" s="7" t="str">
        <x:v>v2-memo-en-02</x:v>
      </x:c>
      <x:c r="B88" s="7" t="str">
        <x:v>memo</x:v>
      </x:c>
      <x:c r="C88" s="7" t="str">
        <x:v>Add a normal priority task to archive the debate notes today.</x:v>
      </x:c>
      <x:c r="D88" s="7" t="str">
        <x:v>draft</x:v>
      </x:c>
      <x:c r="E88" s="7" t="str">
        <x:v>memo</x:v>
      </x:c>
      <x:c r="F88" s="7" t="str">
        <x:v>draft</x:v>
      </x:c>
      <x:c r="G88" s="7" t="str">
        <x:v>memo</x:v>
      </x:c>
      <x:c r="H88" s="8" t="n">
        <x:v>1</x:v>
      </x:c>
      <x:c r="I88" s="8" t="n">
        <x:v>2</x:v>
      </x:c>
      <x:c r="J88" s="8" t="n">
        <x:v>2</x:v>
      </x:c>
      <x:c r="K88" s="8" t="n">
        <x:v>1</x:v>
      </x:c>
      <x:c r="L88" s="8" t="n">
        <x:v>1</x:v>
      </x:c>
      <x:c r="M88" s="8" t="n">
        <x:v>1</x:v>
      </x:c>
      <x:c r="N88" s="7" t="str"/>
      <x:c r="O88" s="7" t="str">
        <x:v>{"status":"draft","module":"memo","title":{"containsAny":["debate","notes"]},"date":"2026-10-02","priority":"normal"}</x:v>
      </x:c>
      <x:c r="P88" s="7" t="str">
        <x:v>{"id":"3d0f7cae-8d68-4e7c-b69e-12bcf4feeb67","title":"Archive Debate Notes","notes":"Add a normal priority task to archive the debate notes today.","dueDate":"2026-10-02","timezone":"America/Los_Angeles","priority":"normal","dateText":"today","warnings":[]}</x:v>
      </x:c>
    </x:row>
    <x:row r="89" ht="132" customHeight="1">
      <x:c r="A89" s="7" t="str">
        <x:v>v2-finance-en-25</x:v>
      </x:c>
      <x:c r="B89" s="7" t="str">
        <x:v>finance</x:v>
      </x:c>
      <x:c r="C89" s="7" t="str">
        <x:v>Record a snack expense of 29, paid in cash today.</x:v>
      </x:c>
      <x:c r="D89" s="7" t="str">
        <x:v>draft</x:v>
      </x:c>
      <x:c r="E89" s="7" t="str">
        <x:v>finance</x:v>
      </x:c>
      <x:c r="F89" s="7" t="str">
        <x:v>draft</x:v>
      </x:c>
      <x:c r="G89" s="7" t="str">
        <x:v>finance</x:v>
      </x:c>
      <x:c r="H89" s="8" t="n">
        <x:v>1</x:v>
      </x:c>
      <x:c r="I89" s="8" t="n">
        <x:v>6</x:v>
      </x:c>
      <x:c r="J89" s="8" t="n">
        <x:v>6</x:v>
      </x:c>
      <x:c r="K89" s="8" t="n">
        <x:v>1</x:v>
      </x:c>
      <x:c r="L89" s="8" t="n">
        <x:v>1</x:v>
      </x:c>
      <x:c r="M89" s="8" t="n">
        <x:v>1</x:v>
      </x:c>
      <x:c r="N89" s="7" t="str"/>
      <x:c r="O89" s="7" t="str">
        <x:v>{"status":"draft","module":"finance","title":{"containsAny":["snack"]},"amount":"29","account":"Cash","kind":"expense","date":"2026-10-02","category":"Food &amp; Drinks"}</x:v>
      </x:c>
      <x:c r="P89" s="7" t="str">
        <x:v>{"id":"02bb855c-bed4-45f4-857e-edd861e749ba","title":"Snack Expense","notes":"29","date":"2026-10-02","time":null,"amount":"29","kind":"expense","category":"Food &amp; Drinks","account":"Cash","timezone":"America/Los_Angeles"}</x:v>
      </x:c>
    </x:row>
    <x:row r="90" ht="132" customHeight="1">
      <x:c r="A90" s="7" t="str">
        <x:v>v2-memo-en-11</x:v>
      </x:c>
      <x:c r="B90" s="7" t="str">
        <x:v>memo</x:v>
      </x:c>
      <x:c r="C90" s="7" t="str">
        <x:v>Add a task to sort the photo negatives sometime soon.</x:v>
      </x:c>
      <x:c r="D90" s="7" t="str">
        <x:v>draft</x:v>
      </x:c>
      <x:c r="E90" s="7" t="str">
        <x:v>memo</x:v>
      </x:c>
      <x:c r="F90" s="7" t="str">
        <x:v>draft</x:v>
      </x:c>
      <x:c r="G90" s="7" t="str">
        <x:v>memo</x:v>
      </x:c>
      <x:c r="H90" s="8" t="n">
        <x:v>1</x:v>
      </x:c>
      <x:c r="I90" s="8" t="n">
        <x:v>2</x:v>
      </x:c>
      <x:c r="J90" s="8" t="n">
        <x:v>2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{"status":"draft","module":"memo","title":{"containsAny":["negative","photo"]},"date":null,"priority":null}</x:v>
      </x:c>
      <x:c r="P90" s="7" t="str">
        <x:v>{"id":"a3946637-2998-4e58-9c17-799743ae776b","title":"Sort photo negatives","notes":"sometime soon","dueDate":null,"timezone":"America/Los_Angeles","priority":null,"dateText":null,"warnings":["date_missing","priority_missing"]}</x:v>
      </x:c>
    </x:row>
    <x:row r="91" ht="132" customHeight="1">
      <x:c r="A91" s="7" t="str">
        <x:v>v2-schedule-en-11</x:v>
      </x:c>
      <x:c r="B91" s="7" t="str">
        <x:v>schedule</x:v>
      </x:c>
      <x:c r="C91" s="7" t="str">
        <x:v>Schedule a photography meetup; the date and time are undecided.</x:v>
      </x:c>
      <x:c r="D91" s="7" t="str">
        <x:v>draft</x:v>
      </x:c>
      <x:c r="E91" s="7" t="str">
        <x:v>schedule</x:v>
      </x:c>
      <x:c r="F91" s="7" t="str">
        <x:v>draft</x:v>
      </x:c>
      <x:c r="G91" s="7" t="str">
        <x:v>schedule</x:v>
      </x:c>
      <x:c r="H91" s="8" t="n">
        <x:v>1</x:v>
      </x:c>
      <x:c r="I91" s="8" t="n">
        <x:v>2</x:v>
      </x:c>
      <x:c r="J91" s="8" t="n">
        <x:v>2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{"status":"draft","module":"schedule","title":{"containsAny":["photography"]},"date":null,"time":null}</x:v>
      </x:c>
      <x:c r="P91" s="7" t="str">
        <x:v>{"id":"bc26ba1e-4706-45e4-981d-cebafa86907f","title":"Photography Meetup","notes":"","date":null,"time":null,"amount":null,"kind":null,"category":null,"account":null,"timezone":"America/Los_Angeles"}</x:v>
      </x:c>
    </x:row>
    <x:row r="92" ht="132" customHeight="1">
      <x:c r="A92" s="7" t="str">
        <x:v>v2-health-en-27</x:v>
      </x:c>
      <x:c r="B92" s="7" t="str">
        <x:v>health</x:v>
      </x:c>
      <x:c r="C92" s="7" t="str">
        <x:v>Give me a personalized diet plan in Health.</x:v>
      </x:c>
      <x:c r="D92" s="7" t="str">
        <x:v>clarification</x:v>
      </x:c>
      <x:c r="E92" s="7" t="str"/>
      <x:c r="F92" s="7" t="str">
        <x:v>clarification</x:v>
      </x:c>
      <x:c r="G92" s="7" t="str"/>
      <x:c r="H92" s="8" t="n">
        <x:v>1</x:v>
      </x:c>
      <x:c r="I92" s="8" t="n">
        <x:v>0</x:v>
      </x:c>
      <x:c r="J92" s="8" t="n">
        <x:v>0</x:v>
      </x:c>
      <x:c r="K92" s="8" t="n">
        <x:v>1</x:v>
      </x:c>
      <x:c r="L92" s="8" t="n">
        <x:v>0</x:v>
      </x:c>
      <x:c r="M92" s="8" t="n">
        <x:v>0</x:v>
      </x:c>
      <x:c r="N92" s="7" t="str"/>
      <x:c r="O92" s="7" t="str">
        <x:v>{"status":"clarification","module":null}</x:v>
      </x:c>
      <x:c r="P92" s="7" t="str">
        <x:v>{"status":"clarification","reason":"health_unsupported","module":null,"draft":null,"fields":null}</x:v>
      </x:c>
    </x:row>
    <x:row r="93" ht="132" customHeight="1">
      <x:c r="A93" s="7" t="str">
        <x:v>v2-memo-en-16</x:v>
      </x:c>
      <x:c r="B93" s="7" t="str">
        <x:v>memo</x:v>
      </x:c>
      <x:c r="C93" s="7" t="str">
        <x:v>Add a task: repair the desk lamp, date undecided.</x:v>
      </x:c>
      <x:c r="D93" s="7" t="str">
        <x:v>draft</x:v>
      </x:c>
      <x:c r="E93" s="7" t="str">
        <x:v>memo</x:v>
      </x:c>
      <x:c r="F93" s="7" t="str">
        <x:v>draft</x:v>
      </x:c>
      <x:c r="G93" s="7" t="str">
        <x:v>memo</x:v>
      </x:c>
      <x:c r="H93" s="8" t="n">
        <x:v>1</x:v>
      </x:c>
      <x:c r="I93" s="8" t="n">
        <x:v>2</x:v>
      </x:c>
      <x:c r="J93" s="8" t="n">
        <x:v>2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{"status":"draft","module":"memo","title":{"containsAny":["lamp"]},"date":null,"priority":null}</x:v>
      </x:c>
      <x:c r="P93" s="7" t="str">
        <x:v>{"id":"9fa1ed94-dadf-4d32-a3c4-1b10573b576b","title":"Repair the desk lamp","notes":"date undecided","dueDate":null,"timezone":"America/Los_Angeles","priority":null,"dateText":null,"warnings":["date_missing","priority_missing"]}</x:v>
      </x:c>
    </x:row>
    <x:row r="94" ht="132" customHeight="1">
      <x:c r="A94" s="7" t="str">
        <x:v>v2-memo-en-24</x:v>
      </x:c>
      <x:c r="B94" s="7" t="str">
        <x:v>memo</x:v>
      </x:c>
      <x:c r="C94" s="7" t="str">
        <x:v>Create a task to water the balcony plants, normal priority.</x:v>
      </x:c>
      <x:c r="D94" s="7" t="str">
        <x:v>draft</x:v>
      </x:c>
      <x:c r="E94" s="7" t="str">
        <x:v>memo</x:v>
      </x:c>
      <x:c r="F94" s="7" t="str">
        <x:v>draft</x:v>
      </x:c>
      <x:c r="G94" s="7" t="str">
        <x:v>memo</x:v>
      </x:c>
      <x:c r="H94" s="8" t="n">
        <x:v>1</x:v>
      </x:c>
      <x:c r="I94" s="8" t="n">
        <x:v>2</x:v>
      </x:c>
      <x:c r="J94" s="8" t="n">
        <x:v>2</x:v>
      </x:c>
      <x:c r="K94" s="8" t="n">
        <x:v>1</x:v>
      </x:c>
      <x:c r="L94" s="8" t="n">
        <x:v>1</x:v>
      </x:c>
      <x:c r="M94" s="8" t="n">
        <x:v>1</x:v>
      </x:c>
      <x:c r="N94" s="7" t="str"/>
      <x:c r="O94" s="7" t="str">
        <x:v>{"status":"draft","module":"memo","title":{"containsAny":["plant","balcony"]},"priority":"normal","date":null}</x:v>
      </x:c>
      <x:c r="P94" s="7" t="str">
        <x:v>{"id":"5fe52789-d688-4a6a-b094-f93762575fa2","title":"Water the balcony plants","notes":"Create a task","dueDate":null,"timezone":"America/Los_Angeles","priority":"normal","dateText":null,"warnings":["date_missing"]}</x:v>
      </x:c>
    </x:row>
    <x:row r="95" ht="132" customHeight="1">
      <x:c r="A95" s="7" t="str">
        <x:v>v2-memo-en-26</x:v>
      </x:c>
      <x:c r="B95" s="7" t="str">
        <x:v>memo</x:v>
      </x:c>
      <x:c r="C95" s="7" t="str">
        <x:v>Add a task to photograph the sculpture tomorrow, with no priority specified.</x:v>
      </x:c>
      <x:c r="D95" s="7" t="str">
        <x:v>draft</x:v>
      </x:c>
      <x:c r="E95" s="7" t="str">
        <x:v>memo</x:v>
      </x:c>
      <x:c r="F95" s="7" t="str">
        <x:v>draft</x:v>
      </x:c>
      <x:c r="G95" s="7" t="str">
        <x:v>memo</x:v>
      </x:c>
      <x:c r="H95" s="8" t="n">
        <x:v>1</x:v>
      </x:c>
      <x:c r="I95" s="8" t="n">
        <x:v>2</x:v>
      </x:c>
      <x:c r="J95" s="8" t="n">
        <x:v>2</x:v>
      </x:c>
      <x:c r="K95" s="8" t="n">
        <x:v>1</x:v>
      </x:c>
      <x:c r="L95" s="8" t="n">
        <x:v>1</x:v>
      </x:c>
      <x:c r="M95" s="8" t="n">
        <x:v>1</x:v>
      </x:c>
      <x:c r="N95" s="7" t="str"/>
      <x:c r="O95" s="7" t="str">
        <x:v>{"status":"draft","module":"memo","title":{"containsAny":["sculpture"]},"date":"2026-10-03","priority":null}</x:v>
      </x:c>
      <x:c r="P95" s="7" t="str">
        <x:v>{"id":"dcc5b93b-82ad-4d46-abbd-9cf76cbc4f4a","title":"Photograph the sculpture","notes":"","dueDate":"2026-10-03","timezone":"America/Los_Angeles","priority":null,"dateText":"tomorrow","warnings":["priority_missing"]}</x:v>
      </x:c>
    </x:row>
    <x:row r="96" ht="132" customHeight="1">
      <x:c r="A96" s="7" t="str">
        <x:v>v2-finance-en-10</x:v>
      </x:c>
      <x:c r="B96" s="7" t="str">
        <x:v>finance</x:v>
      </x:c>
      <x:c r="C96" s="7" t="str">
        <x:v>Record yesterday's taxi expense of 47 yuan, charged to my bank card.</x:v>
      </x:c>
      <x:c r="D96" s="7" t="str">
        <x:v>draft</x:v>
      </x:c>
      <x:c r="E96" s="7" t="str">
        <x:v>finance</x:v>
      </x:c>
      <x:c r="F96" s="7" t="str">
        <x:v>draft</x:v>
      </x:c>
      <x:c r="G96" s="7" t="str">
        <x:v>finance</x:v>
      </x:c>
      <x:c r="H96" s="8" t="n">
        <x:v>1</x:v>
      </x:c>
      <x:c r="I96" s="8" t="n">
        <x:v>6</x:v>
      </x:c>
      <x:c r="J96" s="8" t="n">
        <x:v>6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{"status":"draft","module":"finance","title":{"containsAny":["taxi"]},"amount":"47","account":"Bank Card","kind":"expense","date":"2026-10-01","category":"Transport"}</x:v>
      </x:c>
      <x:c r="P96" s="7" t="str">
        <x:v>{"id":"80a3e9e6-fc20-468d-bd41-4a5c1c343aa7","title":"Taxi Expense","notes":"47 yuan","date":"2026-10-01","time":null,"amount":"47","kind":"expense","category":"Transport","account":"Bank Card","timezone":"America/Los_Angeles"}</x:v>
      </x:c>
    </x:row>
    <x:row r="97" ht="132" customHeight="1">
      <x:c r="A97" s="7" t="str">
        <x:v>v2-finance-en-11</x:v>
      </x:c>
      <x:c r="B97" s="7" t="str">
        <x:v>finance</x:v>
      </x:c>
      <x:c r="C97" s="7" t="str">
        <x:v>Log 28 yuan spent on stationery on 2026-09-24, paid with cash.</x:v>
      </x:c>
      <x:c r="D97" s="7" t="str">
        <x:v>draft</x:v>
      </x:c>
      <x:c r="E97" s="7" t="str">
        <x:v>finance</x:v>
      </x:c>
      <x:c r="F97" s="7" t="str">
        <x:v>draft</x:v>
      </x:c>
      <x:c r="G97" s="7" t="str">
        <x:v>finance</x:v>
      </x:c>
      <x:c r="H97" s="8" t="n">
        <x:v>1</x:v>
      </x:c>
      <x:c r="I97" s="8" t="n">
        <x:v>6</x:v>
      </x:c>
      <x:c r="J97" s="8" t="n">
        <x:v>6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{"status":"draft","module":"finance","title":{"containsAny":["stationery"]},"amount":"28","account":"Cash","kind":"expense","date":"2026-09-24","category":"Shopping"}</x:v>
      </x:c>
      <x:c r="P97" s="7" t="str">
        <x:v>{"id":"49248283-4dcf-4cd9-974d-b757802af005","title":"Stationery","notes":"2026-09-24","date":"2026-09-24","time":null,"amount":"28","kind":"expense","category":"Shopping","account":"Cash","timezone":"America/Los_Angeles"}</x:v>
      </x:c>
    </x:row>
    <x:row r="98" ht="132" customHeight="1">
      <x:c r="A98" s="7" t="str">
        <x:v>v2-health-en-18</x:v>
      </x:c>
      <x:c r="B98" s="7" t="str">
        <x:v>health</x:v>
      </x:c>
      <x:c r="C98" s="7" t="str">
        <x:v>I need the app usage dashboard, not a finance entry.</x:v>
      </x:c>
      <x:c r="D98" s="7" t="str">
        <x:v>draft</x:v>
      </x:c>
      <x:c r="E98" s="7" t="str">
        <x:v>health</x:v>
      </x:c>
      <x:c r="F98" s="7" t="str">
        <x:v>draft</x:v>
      </x:c>
      <x:c r="G98" s="7" t="str">
        <x:v>health</x:v>
      </x:c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1</x:v>
      </x:c>
      <x:c r="M98" s="8" t="n">
        <x:v>1</x:v>
      </x:c>
      <x:c r="N98" s="7" t="str"/>
      <x:c r="O98" s="7" t="str">
        <x:v>{"status":"draft","module":"health"}</x:v>
      </x:c>
      <x:c r="P98" s="7" t="str">
        <x:v>{"id":"098c9fd6-d8ed-4360-84d9-c6fea405cdc6","title":"View phone usage","notes":"","date":null,"time":null,"amount":null,"kind":null,"category":null,"account":null,"timezone":"America/Los_Angeles"}</x:v>
      </x:c>
    </x:row>
    <x:row r="99" ht="132" customHeight="1">
      <x:c r="A99" s="7" t="str">
        <x:v>v2-finance-en-08</x:v>
      </x:c>
      <x:c r="B99" s="7" t="str">
        <x:v>finance</x:v>
      </x:c>
      <x:c r="C99" s="7" t="str">
        <x:v>Record 92 yuan paid for a concert ticket today in cash.</x:v>
      </x:c>
      <x:c r="D99" s="7" t="str">
        <x:v>draft</x:v>
      </x:c>
      <x:c r="E99" s="7" t="str">
        <x:v>finance</x:v>
      </x:c>
      <x:c r="F99" s="7" t="str">
        <x:v>draft</x:v>
      </x:c>
      <x:c r="G99" s="7" t="str">
        <x:v>finance</x:v>
      </x:c>
      <x:c r="H99" s="8" t="n">
        <x:v>1</x:v>
      </x:c>
      <x:c r="I99" s="8" t="n">
        <x:v>6</x:v>
      </x:c>
      <x:c r="J99" s="8" t="n">
        <x:v>6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{"status":"draft","module":"finance","title":{"containsAny":["concert"]},"amount":"92","account":"Cash","kind":"expense","date":"2026-10-02","category":"Entertainment"}</x:v>
      </x:c>
      <x:c r="P99" s="7" t="str">
        <x:v>{"id":"7414e2b8-ccca-4aa3-8b92-cf0bdb3c2213","title":"Concert Ticket","notes":"92 yuan paid for a concert ticket today in cash","date":"2026-10-02","time":null,"amount":"92","kind":"expense","category":"Entertainment","account":"Cash","timezone":"America/Los_Angeles"}</x:v>
      </x:c>
    </x:row>
    <x:row r="100" ht="132" customHeight="1">
      <x:c r="A100" s="7" t="str">
        <x:v>v2-finance-en-12</x:v>
      </x:c>
      <x:c r="B100" s="7" t="str">
        <x:v>finance</x:v>
      </x:c>
      <x:c r="C100" s="7" t="str">
        <x:v>Record today's pizza expense, paid with WeChat; the amount is missing.</x:v>
      </x:c>
      <x:c r="D100" s="7" t="str">
        <x:v>draft</x:v>
      </x:c>
      <x:c r="E100" s="7" t="str">
        <x:v>finance</x:v>
      </x:c>
      <x:c r="F100" s="7" t="str">
        <x:v>draft</x:v>
      </x:c>
      <x:c r="G100" s="7" t="str">
        <x:v>finance</x:v>
      </x:c>
      <x:c r="H100" s="8" t="n">
        <x:v>1</x:v>
      </x:c>
      <x:c r="I100" s="8" t="n">
        <x:v>6</x:v>
      </x:c>
      <x:c r="J100" s="8" t="n">
        <x:v>6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{"status":"draft","module":"finance","title":{"containsAny":["pizza"]},"amount":null,"account":"WeChat","kind":"expense","date":"2026-10-02","category":"Food &amp; Drinks"}</x:v>
      </x:c>
      <x:c r="P100" s="7" t="str">
        <x:v>{"id":"9f73359b-6dbf-48bb-a64e-f3ef64ec1b77","title":"Pizza Expense","notes":"Paid with WeChat","date":"2026-10-02","time":null,"amount":null,"kind":"expense","category":"Food &amp; Drinks","account":"WeChat","timezone":"America/Los_Angeles"}</x:v>
      </x:c>
    </x:row>
    <x:row r="101" ht="132" customHeight="1">
      <x:c r="A101" s="7" t="str">
        <x:v>v2-schedule-en-28</x:v>
      </x:c>
      <x:c r="B101" s="7" t="str">
        <x:v>schedule</x:v>
      </x:c>
      <x:c r="C101" s="7" t="str">
        <x:v>Schedule a book club meeting tomorrow and record a 38 yuan grocery expense.</x:v>
      </x:c>
      <x:c r="D101" s="7" t="str">
        <x:v>clarification</x:v>
      </x:c>
      <x:c r="E101" s="7" t="str"/>
      <x:c r="F101" s="7" t="str">
        <x:v>clarification</x:v>
      </x:c>
      <x:c r="G101" s="7" t="str"/>
      <x:c r="H101" s="8" t="n">
        <x:v>1</x:v>
      </x:c>
      <x:c r="I101" s="8" t="n">
        <x:v>0</x:v>
      </x:c>
      <x:c r="J101" s="8" t="n">
        <x:v>0</x:v>
      </x:c>
      <x:c r="K101" s="8" t="n">
        <x:v>1</x:v>
      </x:c>
      <x:c r="L101" s="8" t="n">
        <x:v>0</x:v>
      </x:c>
      <x:c r="M101" s="8" t="n">
        <x:v>0</x:v>
      </x:c>
      <x:c r="N101" s="7" t="str"/>
      <x:c r="O101" s="7" t="str">
        <x:v>{"status":"clarification","module":null}</x:v>
      </x:c>
      <x:c r="P101" s="7" t="str">
        <x:v>{"status":"clarification","reason":"multiple_tasks","module":null,"draft":null,"fields":null}</x:v>
      </x:c>
    </x:row>
    <x:row r="102" ht="132" customHeight="1">
      <x:c r="A102" s="7" t="str">
        <x:v>v2-memo-en-25</x:v>
      </x:c>
      <x:c r="B102" s="7" t="str">
        <x:v>memo</x:v>
      </x:c>
      <x:c r="C102" s="7" t="str">
        <x:v>Make a task to submit the attendance form today, urgent.</x:v>
      </x:c>
      <x:c r="D102" s="7" t="str">
        <x:v>draft</x:v>
      </x:c>
      <x:c r="E102" s="7" t="str">
        <x:v>memo</x:v>
      </x:c>
      <x:c r="F102" s="7" t="str">
        <x:v>draft</x:v>
      </x:c>
      <x:c r="G102" s="7" t="str">
        <x:v>memo</x:v>
      </x:c>
      <x:c r="H102" s="8" t="n">
        <x:v>1</x:v>
      </x:c>
      <x:c r="I102" s="8" t="n">
        <x:v>2</x:v>
      </x:c>
      <x:c r="J102" s="8" t="n">
        <x:v>2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{"status":"draft","module":"memo","title":{"containsAny":["attendance"]},"date":"2026-10-02","priority":"urgent"}</x:v>
      </x:c>
      <x:c r="P102" s="7" t="str">
        <x:v>{"id":"1a461e11-6619-4765-aae2-960383c2d714","title":"Submit attendance form","notes":"today","dueDate":"2026-10-02","timezone":"America/Los_Angeles","priority":"urgent","dateText":"today","warnings":[]}</x:v>
      </x:c>
    </x:row>
    <x:row r="103" ht="132" customHeight="1">
      <x:c r="A103" s="7" t="str">
        <x:v>v2-memo-en-05</x:v>
      </x:c>
      <x:c r="B103" s="7" t="str">
        <x:v>memo</x:v>
      </x:c>
      <x:c r="C103" s="7" t="str">
        <x:v>Save a memo about the rooftop vegetable garden idea.</x:v>
      </x:c>
      <x:c r="D103" s="7" t="str">
        <x:v>draft</x:v>
      </x:c>
      <x:c r="E103" s="7" t="str">
        <x:v>memo</x:v>
      </x:c>
      <x:c r="F103" s="7" t="str">
        <x:v>draft</x:v>
      </x:c>
      <x:c r="G103" s="7" t="str">
        <x:v>memo</x:v>
      </x:c>
      <x:c r="H103" s="8" t="n">
        <x:v>1</x:v>
      </x:c>
      <x:c r="I103" s="8" t="n">
        <x:v>2</x:v>
      </x:c>
      <x:c r="J103" s="8" t="n">
        <x:v>2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{"status":"draft","module":"memo","title":{"containsAny":["garden"]},"date":null,"priority":null}</x:v>
      </x:c>
      <x:c r="P103" s="7" t="str">
        <x:v>{"id":"bd13928c-7382-4f9d-b0b3-0b8d2cef271b","title":"Rooftop Vegetable Garden Idea","notes":"","dueDate":null,"timezone":"America/Los_Angeles","priority":null,"dateText":null,"warnings":["date_missing","priority_missing"]}</x:v>
      </x:c>
    </x:row>
    <x:row r="104" ht="132" customHeight="1">
      <x:c r="A104" s="7" t="str">
        <x:v>v2-finance-en-17</x:v>
      </x:c>
      <x:c r="B104" s="7" t="str">
        <x:v>finance</x:v>
      </x:c>
      <x:c r="C104" s="7" t="str">
        <x:v>Log 5.678 yuan for juice today, paid through Alipay.</x:v>
      </x:c>
      <x:c r="D104" s="7" t="str">
        <x:v>draft</x:v>
      </x:c>
      <x:c r="E104" s="7" t="str">
        <x:v>finance</x:v>
      </x:c>
      <x:c r="F104" s="7" t="str">
        <x:v>draft</x:v>
      </x:c>
      <x:c r="G104" s="7" t="str">
        <x:v>finance</x:v>
      </x:c>
      <x:c r="H104" s="8" t="n">
        <x:v>1</x:v>
      </x:c>
      <x:c r="I104" s="8" t="n">
        <x:v>6</x:v>
      </x:c>
      <x:c r="J104" s="8" t="n">
        <x:v>6</x:v>
      </x:c>
      <x:c r="K104" s="8" t="n">
        <x:v>1</x:v>
      </x:c>
      <x:c r="L104" s="8" t="n">
        <x:v>1</x:v>
      </x:c>
      <x:c r="M104" s="8" t="n">
        <x:v>1</x:v>
      </x:c>
      <x:c r="N104" s="7" t="str"/>
      <x:c r="O104" s="7" t="str">
        <x:v>{"status":"draft","module":"finance","title":{"containsAny":["juice"]},"amount":null,"account":"Alipay","kind":"expense","date":"2026-10-02","category":"Food &amp; Drinks"}</x:v>
      </x:c>
      <x:c r="P104" s="7" t="str">
        <x:v>{"id":"9186d749-5588-4519-bd1e-4a2e99852e67","title":"Juice","notes":"paid through Alipay","date":"2026-10-02","time":null,"amount":null,"kind":"expense","category":"Food &amp; Drinks","account":"Alipay","timezone":"America/Los_Angeles"}</x:v>
      </x:c>
    </x:row>
    <x:row r="105" ht="132" customHeight="1">
      <x:c r="A105" s="7" t="str">
        <x:v>v2-schedule-en-29</x:v>
      </x:c>
      <x:c r="B105" s="7" t="str">
        <x:v>schedule</x:v>
      </x:c>
      <x:c r="C105" s="7" t="str">
        <x:v>Add a pottery lesson next Monday and show my phone usage.</x:v>
      </x:c>
      <x:c r="D105" s="7" t="str">
        <x:v>clarification</x:v>
      </x:c>
      <x:c r="E105" s="7" t="str"/>
      <x:c r="F105" s="7" t="str">
        <x:v>clarification</x:v>
      </x:c>
      <x:c r="G105" s="7" t="str"/>
      <x:c r="H105" s="8" t="n">
        <x:v>1</x:v>
      </x:c>
      <x:c r="I105" s="8" t="n">
        <x:v>0</x:v>
      </x:c>
      <x:c r="J105" s="8" t="n">
        <x:v>0</x:v>
      </x:c>
      <x:c r="K105" s="8" t="n">
        <x:v>1</x:v>
      </x:c>
      <x:c r="L105" s="8" t="n">
        <x:v>0</x:v>
      </x:c>
      <x:c r="M105" s="8" t="n">
        <x:v>0</x:v>
      </x:c>
      <x:c r="N105" s="7" t="str"/>
      <x:c r="O105" s="7" t="str">
        <x:v>{"status":"clarification","module":null}</x:v>
      </x:c>
      <x:c r="P105" s="7" t="str">
        <x:v>{"status":"clarification","reason":"multiple_tasks","module":null,"draft":null,"fields":null}</x:v>
      </x:c>
    </x:row>
    <x:row r="106" ht="132" customHeight="1">
      <x:c r="A106" s="7" t="str">
        <x:v>v2-finance-en-03</x:v>
      </x:c>
      <x:c r="B106" s="7" t="str">
        <x:v>finance</x:v>
      </x:c>
      <x:c r="C106" s="7" t="str">
        <x:v>Log today's salary of 7100 yuan received on my bank card.</x:v>
      </x:c>
      <x:c r="D106" s="7" t="str">
        <x:v>draft</x:v>
      </x:c>
      <x:c r="E106" s="7" t="str">
        <x:v>finance</x:v>
      </x:c>
      <x:c r="F106" s="7" t="str">
        <x:v>draft</x:v>
      </x:c>
      <x:c r="G106" s="7" t="str">
        <x:v>finance</x:v>
      </x:c>
      <x:c r="H106" s="8" t="n">
        <x:v>1</x:v>
      </x:c>
      <x:c r="I106" s="8" t="n">
        <x:v>6</x:v>
      </x:c>
      <x:c r="J106" s="8" t="n">
        <x:v>6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{"status":"draft","module":"finance","title":{"containsAny":["salary"]},"amount":"7100","account":"Bank Card","kind":"income","date":"2026-10-02","category":"Salary"}</x:v>
      </x:c>
      <x:c r="P106" s="7" t="str">
        <x:v>{"id":"8879b927-3412-47df-9300-348726398138","title":"Salary","notes":"","date":"2026-10-02","time":null,"amount":"7100","kind":"income","category":"Salary","account":"Bank Card","timezone":"America/Los_Angeles"}</x:v>
      </x:c>
    </x:row>
    <x:row r="107" ht="132" customHeight="1">
      <x:c r="A107" s="7" t="str">
        <x:v>v2-schedule-en-27</x:v>
      </x:c>
      <x:c r="B107" s="7" t="str">
        <x:v>schedule</x:v>
      </x:c>
      <x:c r="C107" s="7" t="str">
        <x:v>Create a calendar event for a campus tour and lunch tomorrow at 10:30.</x:v>
      </x:c>
      <x:c r="D107" s="7" t="str">
        <x:v>draft</x:v>
      </x:c>
      <x:c r="E107" s="7" t="str">
        <x:v>schedule</x:v>
      </x:c>
      <x:c r="F107" s="7" t="str">
        <x:v>draft</x:v>
      </x:c>
      <x:c r="G107" s="7" t="str">
        <x:v>schedule</x:v>
      </x:c>
      <x:c r="H107" s="8" t="n">
        <x:v>1</x:v>
      </x:c>
      <x:c r="I107" s="8" t="n">
        <x:v>2</x:v>
      </x:c>
      <x:c r="J107" s="8" t="n">
        <x:v>2</x:v>
      </x:c>
      <x:c r="K107" s="8" t="n">
        <x:v>1</x:v>
      </x:c>
      <x:c r="L107" s="8" t="n">
        <x:v>1</x:v>
      </x:c>
      <x:c r="M107" s="8" t="n">
        <x:v>1</x:v>
      </x:c>
      <x:c r="N107" s="7" t="str"/>
      <x:c r="O107" s="7" t="str">
        <x:v>{"status":"draft","module":"schedule","title":{"containsAny":["tour","campus"]},"date":"2026-10-03","time":"10:30"}</x:v>
      </x:c>
      <x:c r="P107" s="7" t="str">
        <x:v>{"id":"134f687c-f1fa-4860-a5b7-a7ddb9fc4371","title":"Campus Tour and Lunch","notes":"","date":"2026-10-03","time":"10:30","amount":null,"kind":null,"category":null,"account":null,"timezone":"America/Los_Angeles"}</x:v>
      </x:c>
    </x:row>
    <x:row r="108" ht="132" customHeight="1">
      <x:c r="A108" s="7" t="str">
        <x:v>v2-memo-en-08</x:v>
      </x:c>
      <x:c r="B108" s="7" t="str">
        <x:v>memo</x:v>
      </x:c>
      <x:c r="C108" s="7" t="str">
        <x:v>Remind me to return the projector by next Thursday.</x:v>
      </x:c>
      <x:c r="D108" s="7" t="str">
        <x:v>draft</x:v>
      </x:c>
      <x:c r="E108" s="7" t="str">
        <x:v>memo</x:v>
      </x:c>
      <x:c r="F108" s="7" t="str">
        <x:v>draft</x:v>
      </x:c>
      <x:c r="G108" s="7" t="str">
        <x:v>memo</x:v>
      </x:c>
      <x:c r="H108" s="8" t="n">
        <x:v>1</x:v>
      </x:c>
      <x:c r="I108" s="8" t="n">
        <x:v>2</x:v>
      </x:c>
      <x:c r="J108" s="8" t="n">
        <x:v>2</x:v>
      </x:c>
      <x:c r="K108" s="8" t="n">
        <x:v>1</x:v>
      </x:c>
      <x:c r="L108" s="8" t="n">
        <x:v>1</x:v>
      </x:c>
      <x:c r="M108" s="8" t="n">
        <x:v>1</x:v>
      </x:c>
      <x:c r="N108" s="7" t="str"/>
      <x:c r="O108" s="7" t="str">
        <x:v>{"status":"draft","module":"memo","title":{"containsAny":["projector"]},"date":"2026-10-08","priority":null}</x:v>
      </x:c>
      <x:c r="P108" s="7" t="str">
        <x:v>{"id":"24157380-df17-4e9f-9f48-0d4ebd2733fa","title":"Return the projector","notes":"","dueDate":"2026-10-08","timezone":"America/Los_Angeles","priority":null,"dateText":"next Thursday","warnings":["priority_missing"]}</x:v>
      </x:c>
    </x:row>
    <x:row r="109" ht="132" customHeight="1">
      <x:c r="A109" s="7" t="str">
        <x:v>v2-schedule-en-06</x:v>
      </x:c>
      <x:c r="B109" s="7" t="str">
        <x:v>schedule</x:v>
      </x:c>
      <x:c r="C109" s="7" t="str">
        <x:v>Create a calendar event for a choir rehearsal in 2 days at 7pm.</x:v>
      </x:c>
      <x:c r="D109" s="7" t="str">
        <x:v>draft</x:v>
      </x:c>
      <x:c r="E109" s="7" t="str">
        <x:v>schedule</x:v>
      </x:c>
      <x:c r="F109" s="7" t="str">
        <x:v>draft</x:v>
      </x:c>
      <x:c r="G109" s="7" t="str">
        <x:v>schedule</x:v>
      </x:c>
      <x:c r="H109" s="8" t="n">
        <x:v>1</x:v>
      </x:c>
      <x:c r="I109" s="8" t="n">
        <x:v>2</x:v>
      </x:c>
      <x:c r="J109" s="8" t="n">
        <x:v>2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{"status":"draft","module":"schedule","title":{"containsAny":["choir"]},"date":"2026-10-04","time":"19:00"}</x:v>
      </x:c>
      <x:c r="P109" s="7" t="str">
        <x:v>{"id":"21a4c97e-e536-4008-8fb5-8b18fa439aa4","title":"Choir Rehearsal","notes":"","date":"2026-10-04","time":"19:00","amount":null,"kind":null,"category":null,"account":null,"timezone":"America/Los_Angeles"}</x:v>
      </x:c>
    </x:row>
    <x:row r="110" ht="132" customHeight="1">
      <x:c r="A110" s="7" t="str">
        <x:v>v2-memo-en-17</x:v>
      </x:c>
      <x:c r="B110" s="7" t="str">
        <x:v>memo</x:v>
      </x:c>
      <x:c r="C110" s="7" t="str">
        <x:v>Make a to-do to renew the laboratory pass this Friday.</x:v>
      </x:c>
      <x:c r="D110" s="7" t="str">
        <x:v>draft</x:v>
      </x:c>
      <x:c r="E110" s="7" t="str">
        <x:v>memo</x:v>
      </x:c>
      <x:c r="F110" s="7" t="str">
        <x:v>draft</x:v>
      </x:c>
      <x:c r="G110" s="7" t="str">
        <x:v>memo</x:v>
      </x:c>
      <x:c r="H110" s="8" t="n">
        <x:v>1</x:v>
      </x:c>
      <x:c r="I110" s="8" t="n">
        <x:v>2</x:v>
      </x:c>
      <x:c r="J110" s="8" t="n">
        <x:v>2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{"status":"draft","module":"memo","title":{"containsAny":["laboratory","pass"]},"date":"2026-10-02","priority":null}</x:v>
      </x:c>
      <x:c r="P110" s="7" t="str">
        <x:v>{"id":"56e6f083-dec2-47f8-9d32-fdcdcfa5bfaa","title":"Renew laboratory pass","notes":"this Friday","dueDate":"2026-10-02","timezone":"America/Los_Angeles","priority":null,"dateText":"this Friday","warnings":["priority_missing"]}</x:v>
      </x:c>
    </x:row>
    <x:row r="111" ht="132" customHeight="1">
      <x:c r="A111" s="7" t="str">
        <x:v>v2-schedule-en-22</x:v>
      </x:c>
      <x:c r="B111" s="7" t="str">
        <x:v>schedule</x:v>
      </x:c>
      <x:c r="C111" s="7" t="str">
        <x:v>Schedule a sports health lecture next Friday at 09:45.</x:v>
      </x:c>
      <x:c r="D111" s="7" t="str">
        <x:v>draft</x:v>
      </x:c>
      <x:c r="E111" s="7" t="str">
        <x:v>schedule</x:v>
      </x:c>
      <x:c r="F111" s="7" t="str">
        <x:v>draft</x:v>
      </x:c>
      <x:c r="G111" s="7" t="str">
        <x:v>schedule</x:v>
      </x:c>
      <x:c r="H111" s="8" t="n">
        <x:v>1</x:v>
      </x:c>
      <x:c r="I111" s="8" t="n">
        <x:v>2</x:v>
      </x:c>
      <x:c r="J111" s="8" t="n">
        <x:v>2</x:v>
      </x:c>
      <x:c r="K111" s="8" t="n">
        <x:v>1</x:v>
      </x:c>
      <x:c r="L111" s="8" t="n">
        <x:v>1</x:v>
      </x:c>
      <x:c r="M111" s="8" t="n">
        <x:v>1</x:v>
      </x:c>
      <x:c r="N111" s="7" t="str"/>
      <x:c r="O111" s="7" t="str">
        <x:v>{"status":"draft","module":"schedule","title":{"containsAny":["health","lecture"]},"date":"2026-10-09","time":"09:45"}</x:v>
      </x:c>
      <x:c r="P111" s="7" t="str">
        <x:v>{"id":"ee2ff267-2f3e-431d-8f13-89dfed04a568","title":"Sports Health Lecture","notes":"","date":"2026-10-09","time":"09:45","amount":null,"kind":null,"category":null,"account":null,"timezone":"America/Los_Angeles"}</x:v>
      </x:c>
    </x:row>
    <x:row r="112" ht="132" customHeight="1">
      <x:c r="A112" s="7" t="str">
        <x:v>v2-health-en-12</x:v>
      </x:c>
      <x:c r="B112" s="7" t="str">
        <x:v>health</x:v>
      </x:c>
      <x:c r="C112" s="7" t="str">
        <x:v>Take me to the device usage statistics.</x:v>
      </x:c>
      <x:c r="D112" s="7" t="str">
        <x:v>draft</x:v>
      </x:c>
      <x:c r="E112" s="7" t="str">
        <x:v>health</x:v>
      </x:c>
      <x:c r="F112" s="7" t="str">
        <x:v>draft</x:v>
      </x:c>
      <x:c r="G112" s="7" t="str">
        <x:v>health</x:v>
      </x:c>
      <x:c r="H112" s="8" t="n">
        <x:v>1</x:v>
      </x:c>
      <x:c r="I112" s="8" t="n">
        <x:v>0</x:v>
      </x:c>
      <x:c r="J112" s="8" t="n">
        <x:v>0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{"status":"draft","module":"health"}</x:v>
      </x:c>
      <x:c r="P112" s="7" t="str">
        <x:v>{"id":"d725ddb8-73bb-42d4-8c77-4b0d63e61525","title":"View phone usage","notes":"","date":null,"time":null,"amount":null,"kind":null,"category":null,"account":null,"timezone":"America/Los_Angeles"}</x:v>
      </x:c>
    </x:row>
    <x:row r="113" ht="132" customHeight="1">
      <x:c r="A113" s="7" t="str">
        <x:v>v2-finance-en-19</x:v>
      </x:c>
      <x:c r="B113" s="7" t="str">
        <x:v>finance</x:v>
      </x:c>
      <x:c r="C113" s="7" t="str">
        <x:v>Record today's rent of 2300 yuan paid by bank card.</x:v>
      </x:c>
      <x:c r="D113" s="7" t="str">
        <x:v>draft</x:v>
      </x:c>
      <x:c r="E113" s="7" t="str">
        <x:v>finance</x:v>
      </x:c>
      <x:c r="F113" s="7" t="str">
        <x:v>draft</x:v>
      </x:c>
      <x:c r="G113" s="7" t="str">
        <x:v>finance</x:v>
      </x:c>
      <x:c r="H113" s="8" t="n">
        <x:v>1</x:v>
      </x:c>
      <x:c r="I113" s="8" t="n">
        <x:v>6</x:v>
      </x:c>
      <x:c r="J113" s="8" t="n">
        <x:v>6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{"status":"draft","module":"finance","title":{"containsAny":["rent"]},"amount":"2300","account":"Bank Card","kind":"expense","date":"2026-10-02","category":"Bills"}</x:v>
      </x:c>
      <x:c r="P113" s="7" t="str">
        <x:v>{"id":"f0f400f6-00a7-4a07-b4f8-6f6219535279","title":"Rent","notes":"2300 yuan","date":"2026-10-02","time":null,"amount":"2300","kind":"expense","category":"Bills","account":"Bank Card","timezone":"America/Los_Angeles"}</x:v>
      </x:c>
    </x:row>
    <x:row r="114" ht="132" customHeight="1">
      <x:c r="A114" s="7" t="str">
        <x:v>v2-schedule-en-26</x:v>
      </x:c>
      <x:c r="B114" s="7" t="str">
        <x:v>schedule</x:v>
      </x:c>
      <x:c r="C114" s="7" t="str">
        <x:v>Schedule the astronomy club meeting in 7 days at 21:10.</x:v>
      </x:c>
      <x:c r="D114" s="7" t="str">
        <x:v>draft</x:v>
      </x:c>
      <x:c r="E114" s="7" t="str">
        <x:v>schedule</x:v>
      </x:c>
      <x:c r="F114" s="7" t="str">
        <x:v>draft</x:v>
      </x:c>
      <x:c r="G114" s="7" t="str">
        <x:v>schedule</x:v>
      </x:c>
      <x:c r="H114" s="8" t="n">
        <x:v>1</x:v>
      </x:c>
      <x:c r="I114" s="8" t="n">
        <x:v>2</x:v>
      </x:c>
      <x:c r="J114" s="8" t="n">
        <x:v>2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{"status":"draft","module":"schedule","title":{"containsAny":["astronomy"]},"date":"2026-10-09","time":"21:10"}</x:v>
      </x:c>
      <x:c r="P114" s="7" t="str">
        <x:v>{"id":"b8173ba0-6d4c-45a9-813d-28b7eb6300c0","title":"Astronomy Club Meeting","notes":"","date":"2026-10-09","time":"21:10","amount":null,"kind":null,"category":null,"account":null,"timezone":"America/Los_Angeles"}</x:v>
      </x:c>
    </x:row>
    <x:row r="115" ht="132" customHeight="1">
      <x:c r="A115" s="7" t="str">
        <x:v>v2-memo-en-03</x:v>
      </x:c>
      <x:c r="B115" s="7" t="str">
        <x:v>memo</x:v>
      </x:c>
      <x:c r="C115" s="7" t="str">
        <x:v>Urgent to-do: upload the visa documents next Monday.</x:v>
      </x:c>
      <x:c r="D115" s="7" t="str">
        <x:v>draft</x:v>
      </x:c>
      <x:c r="E115" s="7" t="str">
        <x:v>memo</x:v>
      </x:c>
      <x:c r="F115" s="7" t="str">
        <x:v>draft</x:v>
      </x:c>
      <x:c r="G115" s="7" t="str">
        <x:v>memo</x:v>
      </x:c>
      <x:c r="H115" s="8" t="n">
        <x:v>1</x:v>
      </x:c>
      <x:c r="I115" s="8" t="n">
        <x:v>2</x:v>
      </x:c>
      <x:c r="J115" s="8" t="n">
        <x:v>2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{"status":"draft","module":"memo","title":{"containsAny":["visa"]},"date":"2026-10-05","priority":"urgent"}</x:v>
      </x:c>
      <x:c r="P115" s="7" t="str">
        <x:v>{"id":"b20858e6-d6e5-4eb3-b7c7-2867c21cda0f","title":"Upload visa documents","notes":"","dueDate":"2026-10-05","timezone":"America/Los_Angeles","priority":"urgent","dateText":"next Monday","warnings":[]}</x:v>
      </x:c>
    </x:row>
    <x:row r="116" ht="132" customHeight="1">
      <x:c r="A116" s="7" t="str">
        <x:v>v2-finance-en-09</x:v>
      </x:c>
      <x:c r="B116" s="7" t="str">
        <x:v>finance</x:v>
      </x:c>
      <x:c r="C116" s="7" t="str">
        <x:v>Log the electricity bill of 117.30 yuan paid today using Alipay.</x:v>
      </x:c>
      <x:c r="D116" s="7" t="str">
        <x:v>draft</x:v>
      </x:c>
      <x:c r="E116" s="7" t="str">
        <x:v>finance</x:v>
      </x:c>
      <x:c r="F116" s="7" t="str">
        <x:v>draft</x:v>
      </x:c>
      <x:c r="G116" s="7" t="str">
        <x:v>finance</x:v>
      </x:c>
      <x:c r="H116" s="8" t="n">
        <x:v>1</x:v>
      </x:c>
      <x:c r="I116" s="8" t="n">
        <x:v>6</x:v>
      </x:c>
      <x:c r="J116" s="8" t="n">
        <x:v>6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{"status":"draft","module":"finance","title":{"containsAny":["electricity"]},"amount":"117.30","account":"Alipay","kind":"expense","date":"2026-10-02","category":"Bills"}</x:v>
      </x:c>
      <x:c r="P116" s="7" t="str">
        <x:v>{"id":"9f82c4b3-23f5-4c68-9965-02533b11c9f1","title":"Electricity Bill","notes":"117.30 yuan","date":"2026-10-02","time":null,"amount":"117.30","kind":"expense","category":"Bills","account":"Alipay","timezone":"America/Los_Angeles"}</x:v>
      </x:c>
    </x:row>
    <x:row r="117" ht="132" customHeight="1">
      <x:c r="A117" s="7" t="str">
        <x:v>v2-schedule-en-07</x:v>
      </x:c>
      <x:c r="B117" s="7" t="str">
        <x:v>schedule</x:v>
      </x:c>
      <x:c r="C117" s="7" t="str">
        <x:v>Put the chess club gathering today at 18:10 on the calendar.</x:v>
      </x:c>
      <x:c r="D117" s="7" t="str">
        <x:v>draft</x:v>
      </x:c>
      <x:c r="E117" s="7" t="str">
        <x:v>schedule</x:v>
      </x:c>
      <x:c r="F117" s="7" t="str">
        <x:v>draft</x:v>
      </x:c>
      <x:c r="G117" s="7" t="str">
        <x:v>schedule</x:v>
      </x:c>
      <x:c r="H117" s="8" t="n">
        <x:v>1</x:v>
      </x:c>
      <x:c r="I117" s="8" t="n">
        <x:v>2</x:v>
      </x:c>
      <x:c r="J117" s="8" t="n">
        <x:v>2</x:v>
      </x:c>
      <x:c r="K117" s="8" t="n">
        <x:v>1</x:v>
      </x:c>
      <x:c r="L117" s="8" t="n">
        <x:v>1</x:v>
      </x:c>
      <x:c r="M117" s="8" t="n">
        <x:v>1</x:v>
      </x:c>
      <x:c r="N117" s="7" t="str"/>
      <x:c r="O117" s="7" t="str">
        <x:v>{"status":"draft","module":"schedule","title":{"containsAny":["chess"]},"date":"2026-10-02","time":"18:10"}</x:v>
      </x:c>
      <x:c r="P117" s="7" t="str">
        <x:v>{"id":"236751e3-2cba-4619-82e5-bdc77ff51043","title":"Chess Club Gathering","notes":"18:10","date":"2026-10-02","time":"18:10","amount":null,"kind":null,"category":null,"account":null,"timezone":"America/Los_Angeles"}</x:v>
      </x:c>
    </x:row>
    <x:row r="118" ht="132" customHeight="1">
      <x:c r="A118" s="7" t="str">
        <x:v>v2-schedule-en-20</x:v>
      </x:c>
      <x:c r="B118" s="7" t="str">
        <x:v>schedule</x:v>
      </x:c>
      <x:c r="C118" s="7" t="str">
        <x:v>Schedule lunch with my tutor tomorrow at 12pm.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2</x:v>
      </x:c>
      <x:c r="J118" s="8" t="n">
        <x:v>2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{"status":"draft","module":"schedule","title":{"containsAny":["lunch","tutor"]},"date":"2026-10-03","time":"12:00"}</x:v>
      </x:c>
      <x:c r="P118" s="7" t="str">
        <x:v>{"id":"b89e6070-5ae8-4b66-9d63-e48f01de7574","title":"Lunch with Tutor","notes":"","date":"2026-10-03","time":"12:00","amount":null,"kind":null,"category":null,"account":null,"timezone":"America/Los_Angeles"}</x:v>
      </x:c>
    </x:row>
    <x:row r="119" ht="132" customHeight="1">
      <x:c r="A119" s="7" t="str">
        <x:v>v2-schedule-en-08</x:v>
      </x:c>
      <x:c r="B119" s="7" t="str">
        <x:v>schedule</x:v>
      </x:c>
      <x:c r="C119" s="7" t="str">
        <x:v>I have a laboratory session this Thursday; add it to my calendar.</x:v>
      </x:c>
      <x:c r="D119" s="7" t="str">
        <x:v>draft</x:v>
      </x:c>
      <x:c r="E119" s="7" t="str">
        <x:v>schedule</x:v>
      </x:c>
      <x:c r="F119" s="7" t="str">
        <x:v>draft</x:v>
      </x:c>
      <x:c r="G119" s="7" t="str">
        <x:v>schedule</x:v>
      </x:c>
      <x:c r="H119" s="8" t="n">
        <x:v>1</x:v>
      </x:c>
      <x:c r="I119" s="8" t="n">
        <x:v>2</x:v>
      </x:c>
      <x:c r="J119" s="8" t="n">
        <x:v>2</x:v>
      </x:c>
      <x:c r="K119" s="8" t="n">
        <x:v>1</x:v>
      </x:c>
      <x:c r="L119" s="8" t="n">
        <x:v>1</x:v>
      </x:c>
      <x:c r="M119" s="8" t="n">
        <x:v>1</x:v>
      </x:c>
      <x:c r="N119" s="7" t="str"/>
      <x:c r="O119" s="7" t="str">
        <x:v>{"status":"draft","module":"schedule","title":{"containsAny":["laboratory"]},"date":"2026-10-01","time":null}</x:v>
      </x:c>
      <x:c r="P119" s="7" t="str">
        <x:v>{"id":"bc113b62-6d1b-4caf-a585-6586e1be526f","title":"Laboratory Session","notes":"","date":"2026-10-01","time":null,"amount":null,"kind":null,"category":null,"account":null,"timezone":"America/Los_Angeles"}</x:v>
      </x:c>
    </x:row>
    <x:row r="120" ht="132" customHeight="1">
      <x:c r="A120" s="7" t="str">
        <x:v>v2-memo-en-19</x:v>
      </x:c>
      <x:c r="B120" s="7" t="str">
        <x:v>memo</x:v>
      </x:c>
      <x:c r="C120" s="7" t="str">
        <x:v>Add a note: the locker combination is 2468.</x:v>
      </x:c>
      <x:c r="D120" s="7" t="str">
        <x:v>draft</x:v>
      </x:c>
      <x:c r="E120" s="7" t="str">
        <x:v>memo</x:v>
      </x:c>
      <x:c r="F120" s="7" t="str">
        <x:v>draft</x:v>
      </x:c>
      <x:c r="G120" s="7" t="str">
        <x:v>memo</x:v>
      </x:c>
      <x:c r="H120" s="8" t="n">
        <x:v>1</x:v>
      </x:c>
      <x:c r="I120" s="8" t="n">
        <x:v>2</x:v>
      </x:c>
      <x:c r="J120" s="8" t="n">
        <x:v>2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{"status":"draft","module":"memo","title":{"containsAny":["locker","2468"]},"date":null,"priority":null}</x:v>
      </x:c>
      <x:c r="P120" s="7" t="str">
        <x:v>{"id":"9c0f51ea-0cd5-4245-98ac-64f71acaea54","title":"Locker Combination","notes":"the locker combination is 2468","dueDate":null,"timezone":"America/Los_Angeles","priority":null,"dateText":null,"warnings":["date_missing","priority_missing"]}</x:v>
      </x:c>
    </x:row>
    <x:row r="121" ht="132" customHeight="1">
      <x:c r="A121" s="7" t="str">
        <x:v>v2-health-en-28</x:v>
      </x:c>
      <x:c r="B121" s="7" t="str">
        <x:v>health</x:v>
      </x:c>
      <x:c r="C121" s="7" t="str">
        <x:v>Show phone usage and add a task to wash the curtains.</x:v>
      </x:c>
      <x:c r="D121" s="7" t="str">
        <x:v>clarification</x:v>
      </x:c>
      <x:c r="E121" s="7" t="str"/>
      <x:c r="F121" s="7" t="str">
        <x:v>clarification</x:v>
      </x:c>
      <x:c r="G121" s="7" t="str"/>
      <x:c r="H121" s="8" t="n">
        <x:v>1</x:v>
      </x:c>
      <x:c r="I121" s="8" t="n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0</x:v>
      </x:c>
      <x:c r="N121" s="7" t="str"/>
      <x:c r="O121" s="7" t="str">
        <x:v>{"status":"clarification","module":null}</x:v>
      </x:c>
      <x:c r="P121" s="7" t="str">
        <x:v>{"status":"clarification","reason":"multiple_tasks","module":null,"draft":null,"fields":null}</x:v>
      </x:c>
    </x:row>
    <x:row r="122" ht="132" customHeight="1">
      <x:c r="A122" s="7" t="str">
        <x:v>v2-finance-en-14</x:v>
      </x:c>
      <x:c r="B122" s="7" t="str">
        <x:v>finance</x:v>
      </x:c>
      <x:c r="C122" s="7" t="str">
        <x:v>Record a 56 yuan grocery expense paid in cash, date unknown.</x:v>
      </x:c>
      <x:c r="D122" s="7" t="str">
        <x:v>draft</x:v>
      </x:c>
      <x:c r="E122" s="7" t="str">
        <x:v>finance</x:v>
      </x:c>
      <x:c r="F122" s="7" t="str">
        <x:v>draft</x:v>
      </x:c>
      <x:c r="G122" s="7" t="str">
        <x:v>finance</x:v>
      </x:c>
      <x:c r="H122" s="8" t="n">
        <x:v>1</x:v>
      </x:c>
      <x:c r="I122" s="8" t="n">
        <x:v>5</x:v>
      </x:c>
      <x:c r="J122" s="8" t="n">
        <x:v>5</x:v>
      </x:c>
      <x:c r="K122" s="8" t="n">
        <x:v>1</x:v>
      </x:c>
      <x:c r="L122" s="8" t="n">
        <x:v>1</x:v>
      </x:c>
      <x:c r="M122" s="8" t="n">
        <x:v>1</x:v>
      </x:c>
      <x:c r="N122" s="7" t="str"/>
      <x:c r="O122" s="7" t="str">
        <x:v>{"status":"draft","module":"finance","title":{"containsAny":["grocery","groceries"]},"amount":"56","account":"Cash","kind":"expense","date":null}</x:v>
      </x:c>
      <x:c r="P122" s="7" t="str">
        <x:v>{"id":"3cce85ea-17ef-4f9f-9559-412c4491a262","title":"Grocery Expense","notes":"56 yuan","date":null,"time":null,"amount":"56","kind":"expense","category":"Shopping","account":"Cash","timezone":"America/Los_Angeles"}</x:v>
      </x:c>
    </x:row>
    <x:row r="123" ht="132" customHeight="1">
      <x:c r="A123" s="7" t="str">
        <x:v>v2-schedule-en-19</x:v>
      </x:c>
      <x:c r="B123" s="7" t="str">
        <x:v>schedule</x:v>
      </x:c>
      <x:c r="C123" s="7" t="str">
        <x:v>Add the midnight radio interview tomorrow at 12am.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schedule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{"status":"draft","module":"schedule","title":{"containsAny":["radio","interview"]},"date":"2026-10-03","time":"00:00"}</x:v>
      </x:c>
      <x:c r="P123" s="7" t="str">
        <x:v>{"id":"07aafe55-191d-4d98-9321-3f9978333326","title":"Midnight Radio Interview","notes":"","date":"2026-10-03","time":"00:00","amount":null,"kind":null,"category":null,"account":null,"timezone":"America/Los_Angeles"}</x:v>
      </x:c>
    </x:row>
  </x:sheetData>
  <x:conditionalFormatting sqref="H4:H123">
    <x:cfRule type="cellIs" dxfId="2" priority="1" operator="equal">
      <x:formula>0</x:formula>
    </x:cfRule>
  </x:conditionalFormatting>
  <x:conditionalFormatting sqref="K4:K123">
    <x:cfRule type="cellIs" dxfId="3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1d70112ca248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6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4" hidden="0" customWidth="1"/>
    <x:col min="15" max="15" width="82" hidden="0" customWidth="1"/>
    <x:col min="16" max="16" width="82" hidden="0" customWidth="1"/>
  </x:cols>
  <x:sheetData>
    <x:row r="1">
      <x:c r="A1" s="2" t="str">
        <x:v>开发40 逐条结果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32" customHeight="1">
      <x:c r="A3" s="5" t="str">
        <x:v>用例ID</x:v>
      </x:c>
      <x:c r="B3" s="5" t="str">
        <x:v>模块组</x:v>
      </x:c>
      <x:c r="C3" s="5" t="str">
        <x:v>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 / 错误</x:v>
      </x:c>
      <x:c r="O3" s="5" t="str">
        <x:v>预期字段</x:v>
      </x:c>
      <x:c r="P3" s="5" t="str">
        <x:v>实际字段</x:v>
      </x:c>
    </x:row>
    <x:row r="4" ht="132" customHeight="1">
      <x:c r="A4" s="7" t="str">
        <x:v>memo-01</x:v>
      </x:c>
      <x:c r="B4" s="7" t="str">
        <x:v>memo</x:v>
      </x:c>
      <x:c r="C4" s="7" t="str">
        <x:v>明天完成机器学习作业，优先级高</x:v>
      </x:c>
      <x:c r="D4" s="7" t="str">
        <x:v>draft</x:v>
      </x:c>
      <x:c r="E4" s="7" t="str">
        <x:v>memo</x:v>
      </x:c>
      <x:c r="F4" s="7" t="str">
        <x:v>draft</x:v>
      </x:c>
      <x:c r="G4" s="7" t="str">
        <x:v>memo</x:v>
      </x:c>
      <x:c r="H4" s="8" t="n">
        <x:v>1</x:v>
      </x:c>
      <x:c r="I4" s="8" t="n">
        <x:v>0</x:v>
      </x:c>
      <x:c r="J4" s="8" t="n">
        <x:v>0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{"status":"draft","module":"memo","title":{"containsAny":["机器学习","作业"]},"date":"2026-10-01","priority":"important"}</x:v>
      </x:c>
      <x:c r="P4" s="7" t="str">
        <x:v>{"id":"4b0fdc07-23ff-426f-a4ed-6387cdff6937","title":"完成机器学习作业","notes":"","dueDate":"2026-10-01","timezone":"Asia/Shanghai","priority":"important","dateText":"明天","warnings":[]}</x:v>
      </x:c>
    </x:row>
    <x:row r="5" ht="132" customHeight="1">
      <x:c r="A5" s="7" t="str">
        <x:v>memo-02</x:v>
      </x:c>
      <x:c r="B5" s="7" t="str">
        <x:v>memo</x:v>
      </x:c>
      <x:c r="C5" s="7" t="str">
        <x:v>Finish homework tomorrow, high priority</x:v>
      </x:c>
      <x:c r="D5" s="7" t="str">
        <x:v>draft</x:v>
      </x:c>
      <x:c r="E5" s="7" t="str">
        <x:v>memo</x:v>
      </x:c>
      <x:c r="F5" s="7" t="str">
        <x:v>draft</x:v>
      </x:c>
      <x:c r="G5" s="7" t="str">
        <x:v>memo</x:v>
      </x:c>
      <x:c r="H5" s="8" t="n">
        <x:v>1</x:v>
      </x:c>
      <x:c r="I5" s="8" t="n">
        <x:v>0</x:v>
      </x:c>
      <x:c r="J5" s="8" t="n">
        <x:v>0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{"status":"draft","module":"memo","title":{"containsAny":["homework"]},"date":"2026-10-01","priority":"important"}</x:v>
      </x:c>
      <x:c r="P5" s="7" t="str">
        <x:v>{"id":"d10ea9e4-f8a9-4ee7-ac7e-5e23af3703f5","title":"Finish homework","notes":"","dueDate":"2026-10-01","timezone":"Asia/Shanghai","priority":"important","dateText":"tomorrow","warnings":[]}</x:v>
      </x:c>
    </x:row>
    <x:row r="6" ht="132" customHeight="1">
      <x:c r="A6" s="7" t="str">
        <x:v>memo-03</x:v>
      </x:c>
      <x:c r="B6" s="7" t="str">
        <x:v>memo</x:v>
      </x:c>
      <x:c r="C6" s="7" t="str">
        <x:v>今天复习笔记</x:v>
      </x:c>
      <x:c r="D6" s="7" t="str">
        <x:v>draft</x:v>
      </x:c>
      <x:c r="E6" s="7" t="str">
        <x:v>memo</x:v>
      </x:c>
      <x:c r="F6" s="7" t="str">
        <x:v>draft</x:v>
      </x:c>
      <x:c r="G6" s="7" t="str">
        <x:v>memo</x:v>
      </x:c>
      <x:c r="H6" s="8" t="n">
        <x:v>1</x:v>
      </x:c>
      <x:c r="I6" s="8" t="n">
        <x:v>0</x:v>
      </x:c>
      <x:c r="J6" s="8" t="n">
        <x:v>0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{"status":"draft","module":"memo","title":{"containsAny":["笔记","复习"]},"date":"2026-09-30","priority":null}</x:v>
      </x:c>
      <x:c r="P6" s="7" t="str">
        <x:v>{"id":"443cf284-2bcf-4f00-bd83-9c4fa38b7f3d","title":"复习笔记","notes":"","dueDate":"2026-09-30","timezone":"Asia/Shanghai","priority":null,"dateText":"今天","warnings":["priority_missing"]}</x:v>
      </x:c>
    </x:row>
    <x:row r="7" ht="132" customHeight="1">
      <x:c r="A7" s="7" t="str">
        <x:v>memo-04</x:v>
      </x:c>
      <x:c r="B7" s="7" t="str">
        <x:v>memo</x:v>
      </x:c>
      <x:c r="C7" s="7" t="str">
        <x:v>Review notes today</x:v>
      </x:c>
      <x:c r="D7" s="7" t="str">
        <x:v>draft</x:v>
      </x:c>
      <x:c r="E7" s="7" t="str">
        <x:v>memo</x:v>
      </x:c>
      <x:c r="F7" s="7" t="str">
        <x:v>draft</x:v>
      </x:c>
      <x:c r="G7" s="7" t="str">
        <x:v>memo</x:v>
      </x:c>
      <x:c r="H7" s="8" t="n">
        <x:v>1</x:v>
      </x:c>
      <x:c r="I7" s="8" t="n">
        <x:v>0</x:v>
      </x:c>
      <x:c r="J7" s="8" t="n">
        <x:v>0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{"status":"draft","module":"memo","title":{"containsAny":["notes"]},"date":"2026-09-30","priority":null}</x:v>
      </x:c>
      <x:c r="P7" s="7" t="str">
        <x:v>{"id":"46ca671b-ba92-4c15-8c3d-9f1b134fca25","title":"Review notes","notes":"today","dueDate":"2026-09-30","timezone":"Asia/Shanghai","priority":null,"dateText":"today","warnings":["priority_missing"]}</x:v>
      </x:c>
    </x:row>
    <x:row r="8" ht="132" customHeight="1">
      <x:c r="A8" s="7" t="str">
        <x:v>memo-05</x:v>
      </x:c>
      <x:c r="B8" s="7" t="str">
        <x:v>memo</x:v>
      </x:c>
      <x:c r="C8" s="7" t="str">
        <x:v>下周五前完成报告</x:v>
      </x:c>
      <x:c r="D8" s="7" t="str">
        <x:v>draft</x:v>
      </x:c>
      <x:c r="E8" s="7" t="str">
        <x:v>memo</x:v>
      </x:c>
      <x:c r="F8" s="7" t="str">
        <x:v>draft</x:v>
      </x:c>
      <x:c r="G8" s="7" t="str">
        <x:v>memo</x:v>
      </x:c>
      <x:c r="H8" s="8" t="n">
        <x:v>1</x:v>
      </x:c>
      <x:c r="I8" s="8" t="n">
        <x:v>0</x:v>
      </x:c>
      <x:c r="J8" s="8" t="n">
        <x:v>0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{"status":"draft","module":"memo","title":{"containsAny":["报告"]},"date":"2026-10-09","priority":null}</x:v>
      </x:c>
      <x:c r="P8" s="7" t="str">
        <x:v>{"id":"24d0f1b1-8dd9-40d9-93ba-bbbf56432069","title":"完成报告","notes":"下周五","dueDate":"2026-10-09","timezone":"Asia/Shanghai","priority":null,"dateText":"下周五","warnings":["priority_missing"]}</x:v>
      </x:c>
    </x:row>
    <x:row r="9" ht="132" customHeight="1">
      <x:c r="A9" s="7" t="str">
        <x:v>memo-06</x:v>
      </x:c>
      <x:c r="B9" s="7" t="str">
        <x:v>memo</x:v>
      </x:c>
      <x:c r="C9" s="7" t="str">
        <x:v>Finish the report by next Friday</x:v>
      </x:c>
      <x:c r="D9" s="7" t="str">
        <x:v>draft</x:v>
      </x:c>
      <x:c r="E9" s="7" t="str">
        <x:v>memo</x:v>
      </x:c>
      <x:c r="F9" s="7" t="str">
        <x:v>draft</x:v>
      </x:c>
      <x:c r="G9" s="7" t="str">
        <x:v>memo</x:v>
      </x:c>
      <x:c r="H9" s="8" t="n">
        <x:v>1</x:v>
      </x:c>
      <x:c r="I9" s="8" t="n">
        <x:v>0</x:v>
      </x:c>
      <x:c r="J9" s="8" t="n">
        <x:v>0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{"status":"draft","module":"memo","title":{"containsAny":["report"]},"date":"2026-10-09","priority":null}</x:v>
      </x:c>
      <x:c r="P9" s="7" t="str">
        <x:v>{"id":"ea3153fb-f4ee-4614-9458-8ee4eff6779b","title":"Finish the report","notes":"","dueDate":"2026-10-09","timezone":"Asia/Shanghai","priority":null,"dateText":"next Friday","warnings":["priority_missing"]}</x:v>
      </x:c>
    </x:row>
    <x:row r="10" ht="132" customHeight="1">
      <x:c r="A10" s="7" t="str">
        <x:v>memo-07</x:v>
      </x:c>
      <x:c r="B10" s="7" t="str">
        <x:v>memo</x:v>
      </x:c>
      <x:c r="C10" s="7" t="str">
        <x:v>找时间整理书架</x:v>
      </x:c>
      <x:c r="D10" s="7" t="str">
        <x:v>draft</x:v>
      </x:c>
      <x:c r="E10" s="7" t="str">
        <x:v>memo</x:v>
      </x:c>
      <x:c r="F10" s="7" t="str">
        <x:v>draft</x:v>
      </x:c>
      <x:c r="G10" s="7" t="str">
        <x:v>memo</x:v>
      </x:c>
      <x:c r="H10" s="8" t="n">
        <x:v>1</x:v>
      </x:c>
      <x:c r="I10" s="8" t="n">
        <x:v>0</x:v>
      </x:c>
      <x:c r="J10" s="8" t="n">
        <x:v>0</x:v>
      </x:c>
      <x:c r="K10" s="8" t="n">
        <x:v>1</x:v>
      </x:c>
      <x:c r="L10" s="8" t="n">
        <x:v>1</x:v>
      </x:c>
      <x:c r="M10" s="8" t="n">
        <x:v>1</x:v>
      </x:c>
      <x:c r="N10" s="7" t="str"/>
      <x:c r="O10" s="7" t="str">
        <x:v>{"status":"draft","module":"memo","title":{"containsAny":["书架"]},"date":null,"priority":null}</x:v>
      </x:c>
      <x:c r="P10" s="7" t="str">
        <x:v>{"id":"69092f71-bb3c-442b-89f5-b64c10426ed5","title":"整理书架","notes":"","dueDate":null,"timezone":"Asia/Shanghai","priority":null,"dateText":null,"warnings":["date_missing","priority_missing"]}</x:v>
      </x:c>
    </x:row>
    <x:row r="11" ht="132" customHeight="1">
      <x:c r="A11" s="7" t="str">
        <x:v>memo-08</x:v>
      </x:c>
      <x:c r="B11" s="7" t="str">
        <x:v>memo</x:v>
      </x:c>
      <x:c r="C11" s="7" t="str">
        <x:v>Organize the bookshelf sometime</x:v>
      </x:c>
      <x:c r="D11" s="7" t="str">
        <x:v>draft</x:v>
      </x:c>
      <x:c r="E11" s="7" t="str">
        <x:v>memo</x:v>
      </x:c>
      <x:c r="F11" s="7" t="str">
        <x:v>draft</x:v>
      </x:c>
      <x:c r="G11" s="7" t="str">
        <x:v>memo</x:v>
      </x:c>
      <x:c r="H11" s="8" t="n">
        <x:v>1</x:v>
      </x:c>
      <x:c r="I11" s="8" t="n">
        <x:v>0</x:v>
      </x:c>
      <x:c r="J11" s="8" t="n">
        <x:v>0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{"status":"draft","module":"memo","title":{"containsAny":["bookshelf"]},"date":null,"priority":null}</x:v>
      </x:c>
      <x:c r="P11" s="7" t="str">
        <x:v>{"id":"e9847011-4088-4e13-884c-71e8a519d344","title":"Organize bookshelf","notes":"","dueDate":null,"timezone":"Asia/Shanghai","priority":null,"dateText":"sometime","warnings":["date_needs_review","priority_missing"]}</x:v>
      </x:c>
    </x:row>
    <x:row r="12" ht="132" customHeight="1">
      <x:c r="A12" s="7" t="str">
        <x:v>memo-09</x:v>
      </x:c>
      <x:c r="B12" s="7" t="str">
        <x:v>memo</x:v>
      </x:c>
      <x:c r="C12" s="7" t="str">
        <x:v>明天交作业，非常紧急</x:v>
      </x:c>
      <x:c r="D12" s="7" t="str">
        <x:v>draft</x:v>
      </x:c>
      <x:c r="E12" s="7" t="str">
        <x:v>memo</x:v>
      </x:c>
      <x:c r="F12" s="7" t="str">
        <x:v>draft</x:v>
      </x:c>
      <x:c r="G12" s="7" t="str">
        <x:v>memo</x:v>
      </x:c>
      <x:c r="H12" s="8" t="n">
        <x:v>1</x:v>
      </x:c>
      <x:c r="I12" s="8" t="n">
        <x:v>0</x:v>
      </x:c>
      <x:c r="J12" s="8" t="n">
        <x:v>0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{"status":"draft","module":"memo","title":{"containsAny":["作业"]},"date":"2026-10-01","priority":"urgent"}</x:v>
      </x:c>
      <x:c r="P12" s="7" t="str">
        <x:v>{"id":"5ac3f63b-0a1f-4993-8225-99d36be07428","title":"交作业","notes":"非常紧急","dueDate":"2026-10-01","timezone":"Asia/Shanghai","priority":"urgent","dateText":"明天","warnings":[]}</x:v>
      </x:c>
    </x:row>
    <x:row r="13" ht="132" customHeight="1">
      <x:c r="A13" s="7" t="str">
        <x:v>memo-10</x:v>
      </x:c>
      <x:c r="B13" s="7" t="str">
        <x:v>memo</x:v>
      </x:c>
      <x:c r="C13" s="7" t="str">
        <x:v>Read chapter 2 tomorrow, normal priority</x:v>
      </x:c>
      <x:c r="D13" s="7" t="str">
        <x:v>draft</x:v>
      </x:c>
      <x:c r="E13" s="7" t="str">
        <x:v>memo</x:v>
      </x:c>
      <x:c r="F13" s="7" t="str">
        <x:v>draft</x:v>
      </x:c>
      <x:c r="G13" s="7" t="str">
        <x:v>memo</x:v>
      </x:c>
      <x:c r="H13" s="8" t="n">
        <x:v>1</x:v>
      </x:c>
      <x:c r="I13" s="8" t="n">
        <x:v>0</x:v>
      </x:c>
      <x:c r="J13" s="8" t="n">
        <x:v>0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{"status":"draft","module":"memo","title":{"containsAny":["chapter"]},"date":"2026-10-01","priority":"normal"}</x:v>
      </x:c>
      <x:c r="P13" s="7" t="str">
        <x:v>{"id":"25714d24-1ae1-49be-be7d-84b4fc6a295a","title":"Read chapter 2","notes":"","dueDate":"2026-10-01","timezone":"Asia/Shanghai","priority":"normal","dateText":"tomorrow","warnings":[]}</x:v>
      </x:c>
    </x:row>
    <x:row r="14" ht="132" customHeight="1">
      <x:c r="A14" s="7" t="str">
        <x:v>finance-01</x:v>
      </x:c>
      <x:c r="B14" s="7" t="str">
        <x:v>finance</x:v>
      </x:c>
      <x:c r="C14" s="7" t="str">
        <x:v>今天午餐花了28元，用支付宝支付</x:v>
      </x:c>
      <x:c r="D14" s="7" t="str">
        <x:v>draft</x:v>
      </x:c>
      <x:c r="E14" s="7" t="str">
        <x:v>finance</x:v>
      </x:c>
      <x:c r="F14" s="7" t="str">
        <x:v>draft</x:v>
      </x:c>
      <x:c r="G14" s="7" t="str">
        <x:v>finance</x:v>
      </x:c>
      <x:c r="H14" s="8" t="n">
        <x:v>1</x:v>
      </x:c>
      <x:c r="I14" s="8" t="n">
        <x:v>0</x:v>
      </x:c>
      <x:c r="J14" s="8" t="n">
        <x:v>0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{"status":"draft","module":"finance","title":{"containsAny":["午餐","餐"]},"amount":"28","kind":"expense","category":"Food &amp; Drinks","account":"Alipay","date":"2026-09-30"}</x:v>
      </x:c>
      <x:c r="P14" s="7" t="str">
        <x:v>{"id":"6b09f15c-e62d-4ebc-a829-1e5402800e7c","title":"午餐","notes":"","date":"2026-09-30","time":null,"amount":"28","kind":"expense","category":"Food &amp; Drinks","account":"Alipay","timezone":"Asia/Shanghai"}</x:v>
      </x:c>
    </x:row>
    <x:row r="15" ht="132" customHeight="1">
      <x:c r="A15" s="7" t="str">
        <x:v>finance-02</x:v>
      </x:c>
      <x:c r="B15" s="7" t="str">
        <x:v>finance</x:v>
      </x:c>
      <x:c r="C15" s="7" t="str">
        <x:v>Coffee cost 12.50 today, paid in cash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0</x:v>
      </x:c>
      <x:c r="J15" s="8" t="n">
        <x:v>0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{"status":"draft","module":"finance","title":{"containsAny":["coffee"]},"amount":"12.50","kind":"expense","category":"Food &amp; Drinks","account":"Cash","date":"2026-09-30"}</x:v>
      </x:c>
      <x:c r="P15" s="7" t="str">
        <x:v>{"id":"50333810-3a71-4d42-ad02-50c2e839c301","title":"Coffee","notes":"","date":"2026-09-30","time":null,"amount":"12.50","kind":"expense","category":"Food &amp; Drinks","account":"Cash","timezone":"Asia/Shanghai"}</x:v>
      </x:c>
    </x:row>
    <x:row r="16" ht="132" customHeight="1">
      <x:c r="A16" s="7" t="str">
        <x:v>finance-03</x:v>
      </x:c>
      <x:c r="B16" s="7" t="str">
        <x:v>finance</x:v>
      </x:c>
      <x:c r="C16" s="7" t="str">
        <x:v>昨天坐公交花了2元，微信支付</x:v>
      </x:c>
      <x:c r="D16" s="7" t="str">
        <x:v>draft</x:v>
      </x:c>
      <x:c r="E16" s="7" t="str">
        <x:v>finance</x:v>
      </x:c>
      <x:c r="F16" s="7" t="str">
        <x:v>draft</x:v>
      </x:c>
      <x:c r="G16" s="7" t="str">
        <x:v>finance</x:v>
      </x:c>
      <x:c r="H16" s="8" t="n">
        <x:v>1</x:v>
      </x:c>
      <x:c r="I16" s="8" t="n">
        <x:v>0</x:v>
      </x:c>
      <x:c r="J16" s="8" t="n">
        <x:v>0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{"status":"draft","module":"finance","title":{"containsAny":["公交"]},"amount":"2","kind":"expense","category":"Transport","account":"WeChat","date":"2026-09-29"}</x:v>
      </x:c>
      <x:c r="P16" s="7" t="str">
        <x:v>{"id":"164bb0e8-69a2-422b-b585-d8275681fa7d","title":"公交费用","notes":"","date":"2026-09-29","time":null,"amount":"2","kind":"expense","category":"Transport","account":"WeChat","timezone":"Asia/Shanghai"}</x:v>
      </x:c>
    </x:row>
    <x:row r="17" ht="132" customHeight="1">
      <x:c r="A17" s="7" t="str">
        <x:v>finance-04</x:v>
      </x:c>
      <x:c r="B17" s="7" t="str">
        <x:v>finance</x:v>
      </x:c>
      <x:c r="C17" s="7" t="str">
        <x:v>Received salary 5000 today into my bank card</x:v>
      </x:c>
      <x:c r="D17" s="7" t="str">
        <x:v>draft</x:v>
      </x:c>
      <x:c r="E17" s="7" t="str">
        <x:v>finance</x:v>
      </x:c>
      <x:c r="F17" s="7" t="str">
        <x:v>draft</x:v>
      </x:c>
      <x:c r="G17" s="7" t="str">
        <x:v>finance</x:v>
      </x:c>
      <x:c r="H17" s="8" t="n">
        <x:v>1</x:v>
      </x:c>
      <x:c r="I17" s="8" t="n">
        <x:v>0</x:v>
      </x:c>
      <x:c r="J17" s="8" t="n">
        <x:v>0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{"status":"draft","module":"finance","title":{"containsAny":["salary"]},"amount":"5000","kind":"income","category":"Salary","account":"Bank Card","date":"2026-09-30"}</x:v>
      </x:c>
      <x:c r="P17" s="7" t="str">
        <x:v>{"id":"1e8adeb9-8f43-45ef-a8dc-7e35bb441807","title":"Salary","notes":"","date":"2026-09-30","time":null,"amount":"5000","kind":"income","category":"Salary","account":"Bank Card","timezone":"Asia/Shanghai"}</x:v>
      </x:c>
    </x:row>
    <x:row r="18" ht="132" customHeight="1">
      <x:c r="A18" s="7" t="str">
        <x:v>finance-05</x:v>
      </x:c>
      <x:c r="B18" s="7" t="str">
        <x:v>finance</x:v>
      </x:c>
      <x:c r="C18" s="7" t="str">
        <x:v>今天收到奖学金1000元</x:v>
      </x:c>
      <x:c r="D18" s="7" t="str">
        <x:v>draft</x:v>
      </x:c>
      <x:c r="E18" s="7" t="str">
        <x:v>finance</x:v>
      </x:c>
      <x:c r="F18" s="7" t="str">
        <x:v>draft</x:v>
      </x:c>
      <x:c r="G18" s="7" t="str">
        <x:v>finance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{"status":"draft","module":"finance","title":{"containsAny":["奖学金"]},"amount":"1000","kind":"income","category":"Scholarship","account":null,"date":"2026-09-30"}</x:v>
      </x:c>
      <x:c r="P18" s="7" t="str">
        <x:v>{"id":"9dc867b9-f902-451a-96f6-006ce46eeee8","title":"奖学金","notes":"","date":"2026-09-30","time":null,"amount":"1000","kind":"income","category":"Scholarship","account":null,"timezone":"Asia/Shanghai"}</x:v>
      </x:c>
    </x:row>
    <x:row r="19" ht="132" customHeight="1">
      <x:c r="A19" s="7" t="str">
        <x:v>finance-06</x:v>
      </x:c>
      <x:c r="B19" s="7" t="str">
        <x:v>finance</x:v>
      </x:c>
      <x:c r="C19" s="7" t="str">
        <x:v>Lunch cost 20 today</x:v>
      </x:c>
      <x:c r="D19" s="7" t="str">
        <x:v>draft</x:v>
      </x:c>
      <x:c r="E19" s="7" t="str">
        <x:v>finance</x:v>
      </x:c>
      <x:c r="F19" s="7" t="str">
        <x:v>draft</x:v>
      </x:c>
      <x:c r="G19" s="7" t="str">
        <x:v>finance</x:v>
      </x:c>
      <x:c r="H19" s="8" t="n">
        <x:v>1</x:v>
      </x:c>
      <x:c r="I19" s="8" t="n">
        <x:v>0</x:v>
      </x:c>
      <x:c r="J19" s="8" t="n">
        <x:v>0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{"status":"draft","module":"finance","title":{"containsAny":["lunch"]},"amount":"20","kind":"expense","category":"Food &amp; Drinks","account":null,"date":"2026-09-30"}</x:v>
      </x:c>
      <x:c r="P19" s="7" t="str">
        <x:v>{"id":"141ec168-426f-488c-b3b0-c135ddf98d4a","title":"Lunch","notes":"","date":"2026-09-30","time":null,"amount":"20","kind":"expense","category":"Food &amp; Drinks","account":null,"timezone":"Asia/Shanghai"}</x:v>
      </x:c>
    </x:row>
    <x:row r="20" ht="132" customHeight="1">
      <x:c r="A20" s="7" t="str">
        <x:v>finance-07</x:v>
      </x:c>
      <x:c r="B20" s="7" t="str">
        <x:v>finance</x:v>
      </x:c>
      <x:c r="C20" s="7" t="str">
        <x:v>今天买咖啡，用现金支付</x:v>
      </x:c>
      <x:c r="D20" s="7" t="str">
        <x:v>draft</x:v>
      </x:c>
      <x:c r="E20" s="7" t="str">
        <x:v>finance</x:v>
      </x:c>
      <x:c r="F20" s="7" t="str">
        <x:v>draft</x:v>
      </x:c>
      <x:c r="G20" s="7" t="str">
        <x:v>finance</x:v>
      </x:c>
      <x:c r="H20" s="8" t="n">
        <x:v>1</x:v>
      </x:c>
      <x:c r="I20" s="8" t="n">
        <x:v>0</x:v>
      </x:c>
      <x:c r="J20" s="8" t="n">
        <x:v>0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{"status":"draft","module":"finance","title":{"containsAny":["咖啡"]},"amount":null,"kind":"expense","category":"Food &amp; Drinks","account":"Cash","date":"2026-09-30"}</x:v>
      </x:c>
      <x:c r="P20" s="7" t="str">
        <x:v>{"id":"9b7de206-cc62-49e9-8a80-9e69870311ce","title":"买咖啡","notes":"用现金支付","date":"2026-09-30","time":null,"amount":null,"kind":"expense","category":"Food &amp; Drinks","account":"Cash","timezone":"Asia/Shanghai"}</x:v>
      </x:c>
    </x:row>
    <x:row r="21" ht="132" customHeight="1">
      <x:c r="A21" s="7" t="str">
        <x:v>finance-08</x:v>
      </x:c>
      <x:c r="B21" s="7" t="str">
        <x:v>finance</x:v>
      </x:c>
      <x:c r="C21" s="7" t="str">
        <x:v>Paid 80 for shopping by credit card</x:v>
      </x:c>
      <x:c r="D21" s="7" t="str">
        <x:v>draft</x:v>
      </x:c>
      <x:c r="E21" s="7" t="str">
        <x:v>finance</x:v>
      </x:c>
      <x:c r="F21" s="7" t="str">
        <x:v>draft</x:v>
      </x:c>
      <x:c r="G21" s="7" t="str">
        <x:v>finance</x:v>
      </x:c>
      <x:c r="H21" s="8" t="n">
        <x:v>1</x:v>
      </x:c>
      <x:c r="I21" s="8" t="n">
        <x:v>0</x:v>
      </x:c>
      <x:c r="J21" s="8" t="n">
        <x:v>0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{"status":"draft","module":"finance","title":{"containsAny":["shopping"]},"amount":"80","kind":"expense","category":"Shopping","account":"Credit Card","date":null}</x:v>
      </x:c>
      <x:c r="P21" s="7" t="str">
        <x:v>{"id":"8464a533-76bc-4d74-930a-2913a72c1b47","title":"Shopping","notes":"","date":null,"time":null,"amount":"80","kind":"expense","category":"Shopping","account":"Credit Card","timezone":"Asia/Shanghai"}</x:v>
      </x:c>
    </x:row>
    <x:row r="22" ht="132" customHeight="1">
      <x:c r="A22" s="7" t="str">
        <x:v>finance-09</x:v>
      </x:c>
      <x:c r="B22" s="7" t="str">
        <x:v>finance</x:v>
      </x:c>
      <x:c r="C22" s="7" t="str">
        <x:v>今天买咖啡花了12.345元</x:v>
      </x:c>
      <x:c r="D22" s="7" t="str">
        <x:v>draft</x:v>
      </x:c>
      <x:c r="E22" s="7" t="str">
        <x:v>finance</x:v>
      </x:c>
      <x:c r="F22" s="7" t="str">
        <x:v>draft</x:v>
      </x:c>
      <x:c r="G22" s="7" t="str">
        <x:v>finance</x:v>
      </x:c>
      <x:c r="H22" s="8" t="n">
        <x:v>1</x:v>
      </x:c>
      <x:c r="I22" s="8" t="n">
        <x:v>0</x:v>
      </x:c>
      <x:c r="J22" s="8" t="n">
        <x:v>0</x:v>
      </x:c>
      <x:c r="K22" s="8" t="n">
        <x:v>1</x:v>
      </x:c>
      <x:c r="L22" s="8" t="n">
        <x:v>1</x:v>
      </x:c>
      <x:c r="M22" s="8" t="n">
        <x:v>1</x:v>
      </x:c>
      <x:c r="N22" s="7" t="str"/>
      <x:c r="O22" s="7" t="str">
        <x:v>{"status":"draft","module":"finance","title":{"containsAny":["咖啡"]},"amount":null,"kind":"expense","category":"Food &amp; Drinks","account":null,"date":"2026-09-30"}</x:v>
      </x:c>
      <x:c r="P22" s="7" t="str">
        <x:v>{"id":"9e5bb133-7761-49d7-84db-7579b58ef5e7","title":"咖啡","notes":"","date":"2026-09-30","time":null,"amount":null,"kind":"expense","category":"Food &amp; Drinks","account":null,"timezone":"Asia/Shanghai"}</x:v>
      </x:c>
    </x:row>
    <x:row r="23" ht="132" customHeight="1">
      <x:c r="A23" s="7" t="str">
        <x:v>finance-10</x:v>
      </x:c>
      <x:c r="B23" s="7" t="str">
        <x:v>finance</x:v>
      </x:c>
      <x:c r="C23" s="7" t="str">
        <x:v>Coffee cost 10 TODAY</x:v>
      </x:c>
      <x:c r="D23" s="7" t="str">
        <x:v>draft</x:v>
      </x:c>
      <x:c r="E23" s="7" t="str">
        <x:v>finance</x:v>
      </x:c>
      <x:c r="F23" s="7" t="str">
        <x:v>draft</x:v>
      </x:c>
      <x:c r="G23" s="7" t="str">
        <x:v>finance</x:v>
      </x:c>
      <x:c r="H23" s="8" t="n">
        <x:v>1</x:v>
      </x:c>
      <x:c r="I23" s="8" t="n">
        <x:v>0</x:v>
      </x:c>
      <x:c r="J23" s="8" t="n">
        <x:v>0</x:v>
      </x:c>
      <x:c r="K23" s="8" t="n">
        <x:v>1</x:v>
      </x:c>
      <x:c r="L23" s="8" t="n">
        <x:v>1</x:v>
      </x:c>
      <x:c r="M23" s="8" t="n">
        <x:v>1</x:v>
      </x:c>
      <x:c r="N23" s="7" t="str"/>
      <x:c r="O23" s="7" t="str">
        <x:v>{"status":"draft","module":"finance","title":{"containsAny":["coffee"]},"amount":"10","kind":"expense","category":"Food &amp; Drinks","account":null,"date":"2026-09-29"}</x:v>
      </x:c>
      <x:c r="P23" s="7" t="str">
        <x:v>{"id":"81be25ad-0582-406e-b584-063e8f50db1b","title":"Coffee","notes":"","date":"2026-09-29","time":null,"amount":"10","kind":"expense","category":"Food &amp; Drinks","account":null,"timezone":"America/Los_Angeles"}</x:v>
      </x:c>
    </x:row>
    <x:row r="24" ht="132" customHeight="1">
      <x:c r="A24" s="7" t="str">
        <x:v>schedule-01</x:v>
      </x:c>
      <x:c r="B24" s="7" t="str">
        <x:v>schedule</x:v>
      </x:c>
      <x:c r="C24" s="7" t="str">
        <x:v>明天下午3点开组会</x:v>
      </x:c>
      <x:c r="D24" s="7" t="str">
        <x:v>draft</x:v>
      </x:c>
      <x:c r="E24" s="7" t="str">
        <x:v>schedule</x:v>
      </x:c>
      <x:c r="F24" s="7" t="str">
        <x:v>draft</x:v>
      </x:c>
      <x:c r="G24" s="7" t="str">
        <x:v>schedule</x:v>
      </x:c>
      <x:c r="H24" s="8" t="n">
        <x:v>1</x:v>
      </x:c>
      <x:c r="I24" s="8" t="n">
        <x:v>0</x:v>
      </x:c>
      <x:c r="J24" s="8" t="n">
        <x:v>0</x:v>
      </x:c>
      <x:c r="K24" s="8" t="n">
        <x:v>0</x:v>
      </x:c>
      <x:c r="L24" s="8" t="n">
        <x:v>1</x:v>
      </x:c>
      <x:c r="M24" s="8" t="n">
        <x:v>0</x:v>
      </x:c>
      <x:c r="N24" s="7" t="str">
        <x:v>title</x:v>
      </x:c>
      <x:c r="O24" s="7" t="str">
        <x:v>{"status":"draft","module":"schedule","title":{"containsAny":["组会"]},"date":"2026-10-01","time":"15:00"}</x:v>
      </x:c>
      <x:c r="P24" s="7" t="str">
        <x:v>{"id":"29389192-1fea-4b56-841d-0b67fd8fcce9","title":"会议","notes":"","date":"2026-10-01","time":"15:00","amount":null,"kind":null,"category":null,"account":null,"timezone":"Asia/Shanghai"}</x:v>
      </x:c>
    </x:row>
    <x:row r="25" ht="132" customHeight="1">
      <x:c r="A25" s="7" t="str">
        <x:v>schedule-02</x:v>
      </x:c>
      <x:c r="B25" s="7" t="str">
        <x:v>schedule</x:v>
      </x:c>
      <x:c r="C25" s="7" t="str">
        <x:v>Team meeting tomorrow at 15:00</x:v>
      </x:c>
      <x:c r="D25" s="7" t="str">
        <x:v>draft</x:v>
      </x:c>
      <x:c r="E25" s="7" t="str">
        <x:v>schedule</x:v>
      </x:c>
      <x:c r="F25" s="7" t="str">
        <x:v>draft</x:v>
      </x:c>
      <x:c r="G25" s="7" t="str">
        <x:v>schedule</x:v>
      </x:c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{"status":"draft","module":"schedule","title":{"containsAny":["meeting"]},"date":"2026-10-01","time":"15:00"}</x:v>
      </x:c>
      <x:c r="P25" s="7" t="str">
        <x:v>{"id":"a271a3f5-808a-4366-89f0-ce728a81a48b","title":"Team meeting","notes":"","date":"2026-10-01","time":"15:00","amount":null,"kind":null,"category":null,"account":null,"timezone":"Asia/Shanghai"}</x:v>
      </x:c>
    </x:row>
    <x:row r="26" ht="132" customHeight="1">
      <x:c r="A26" s="7" t="str">
        <x:v>schedule-03</x:v>
      </x:c>
      <x:c r="B26" s="7" t="str">
        <x:v>schedule</x:v>
      </x:c>
      <x:c r="C26" s="7" t="str">
        <x:v>今天上午9点开会</x:v>
      </x:c>
      <x:c r="D26" s="7" t="str">
        <x:v>draft</x:v>
      </x:c>
      <x:c r="E26" s="7" t="str">
        <x:v>schedule</x:v>
      </x:c>
      <x:c r="F26" s="7" t="str">
        <x:v>draft</x:v>
      </x:c>
      <x:c r="G26" s="7" t="str">
        <x:v>schedule</x:v>
      </x:c>
      <x:c r="H26" s="8" t="n">
        <x:v>1</x:v>
      </x:c>
      <x:c r="I26" s="8" t="n">
        <x:v>0</x:v>
      </x:c>
      <x:c r="J26" s="8" t="n">
        <x:v>0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{"status":"draft","module":"schedule","title":{"containsAny":["会"]},"date":"2026-09-30","time":"09:00"}</x:v>
      </x:c>
      <x:c r="P26" s="7" t="str">
        <x:v>{"id":"9f864e33-2e4f-42cf-8e73-418634eb8766","title":"会议","notes":"","date":"2026-09-30","time":"09:00","amount":null,"kind":null,"category":null,"account":null,"timezone":"Asia/Shanghai"}</x:v>
      </x:c>
    </x:row>
    <x:row r="27" ht="132" customHeight="1">
      <x:c r="A27" s="7" t="str">
        <x:v>schedule-04</x:v>
      </x:c>
      <x:c r="B27" s="7" t="str">
        <x:v>schedule</x:v>
      </x:c>
      <x:c r="C27" s="7" t="str">
        <x:v>Dentist appointment tomorrow at 9am</x:v>
      </x:c>
      <x:c r="D27" s="7" t="str">
        <x:v>draft</x:v>
      </x:c>
      <x:c r="E27" s="7" t="str">
        <x:v>schedule</x:v>
      </x:c>
      <x:c r="F27" s="7" t="str">
        <x:v>draft</x:v>
      </x:c>
      <x:c r="G27" s="7" t="str">
        <x:v>schedule</x:v>
      </x:c>
      <x:c r="H27" s="8" t="n">
        <x:v>1</x:v>
      </x:c>
      <x:c r="I27" s="8" t="n">
        <x:v>0</x:v>
      </x:c>
      <x:c r="J27" s="8" t="n">
        <x:v>0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{"status":"draft","module":"schedule","title":{"containsAny":["dentist"]},"date":"2026-10-01","time":"09:00"}</x:v>
      </x:c>
      <x:c r="P27" s="7" t="str">
        <x:v>{"id":"1dc8368d-38c6-408c-ac2f-8ceb8bd13c28","title":"Dentist Appointment","notes":"","date":"2026-10-01","time":"09:00","amount":null,"kind":null,"category":null,"account":null,"timezone":"Asia/Shanghai"}</x:v>
      </x:c>
    </x:row>
    <x:row r="28" ht="132" customHeight="1">
      <x:c r="A28" s="7" t="str">
        <x:v>schedule-05</x:v>
      </x:c>
      <x:c r="B28" s="7" t="str">
        <x:v>schedule</x:v>
      </x:c>
      <x:c r="C28" s="7" t="str">
        <x:v>下周五下午2点开会</x:v>
      </x:c>
      <x:c r="D28" s="7" t="str">
        <x:v>draft</x:v>
      </x:c>
      <x:c r="E28" s="7" t="str">
        <x:v>schedule</x:v>
      </x:c>
      <x:c r="F28" s="7" t="str">
        <x:v>draft</x:v>
      </x:c>
      <x:c r="G28" s="7" t="str">
        <x:v>schedule</x:v>
      </x:c>
      <x:c r="H28" s="8" t="n">
        <x:v>1</x:v>
      </x:c>
      <x:c r="I28" s="8" t="n">
        <x:v>0</x:v>
      </x:c>
      <x:c r="J28" s="8" t="n">
        <x:v>0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{"status":"draft","module":"schedule","title":{"containsAny":["会"]},"date":"2026-10-09","time":"14:00"}</x:v>
      </x:c>
      <x:c r="P28" s="7" t="str">
        <x:v>{"id":"444a5b14-8291-4928-abf7-9b91d6de4a2c","title":"会议","notes":"","date":"2026-10-09","time":"14:00","amount":null,"kind":null,"category":null,"account":null,"timezone":"Asia/Shanghai"}</x:v>
      </x:c>
    </x:row>
    <x:row r="29" ht="132" customHeight="1">
      <x:c r="A29" s="7" t="str">
        <x:v>schedule-06</x:v>
      </x:c>
      <x:c r="B29" s="7" t="str">
        <x:v>schedule</x:v>
      </x:c>
      <x:c r="C29" s="7" t="str">
        <x:v>Meeting next Friday at 2pm</x:v>
      </x:c>
      <x:c r="D29" s="7" t="str">
        <x:v>draft</x:v>
      </x:c>
      <x:c r="E29" s="7" t="str">
        <x:v>schedule</x:v>
      </x:c>
      <x:c r="F29" s="7" t="str">
        <x:v>draft</x:v>
      </x:c>
      <x:c r="G29" s="7" t="str">
        <x:v>schedule</x:v>
      </x:c>
      <x:c r="H29" s="8" t="n">
        <x:v>1</x:v>
      </x:c>
      <x:c r="I29" s="8" t="n">
        <x:v>0</x:v>
      </x:c>
      <x:c r="J29" s="8" t="n">
        <x:v>0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{"status":"draft","module":"schedule","title":{"containsAny":["meeting"]},"date":"2026-10-09","time":"14:00"}</x:v>
      </x:c>
      <x:c r="P29" s="7" t="str">
        <x:v>{"id":"d0a37cc1-f344-49e9-ab07-16d68bd1dbe4","title":"Meeting","notes":"","date":"2026-10-09","time":"14:00","amount":null,"kind":null,"category":null,"account":null,"timezone":"Asia/Shanghai"}</x:v>
      </x:c>
    </x:row>
    <x:row r="30" ht="132" customHeight="1">
      <x:c r="A30" s="7" t="str">
        <x:v>schedule-07</x:v>
      </x:c>
      <x:c r="B30" s="7" t="str">
        <x:v>schedule</x:v>
      </x:c>
      <x:c r="C30" s="7" t="str">
        <x:v>明天开组会</x:v>
      </x:c>
      <x:c r="D30" s="7" t="str">
        <x:v>draft</x:v>
      </x:c>
      <x:c r="E30" s="7" t="str">
        <x:v>schedule</x:v>
      </x:c>
      <x:c r="F30" s="7" t="str">
        <x:v>draft</x:v>
      </x:c>
      <x:c r="G30" s="7" t="str">
        <x:v>schedule</x:v>
      </x:c>
      <x:c r="H30" s="8" t="n">
        <x:v>1</x:v>
      </x:c>
      <x:c r="I30" s="8" t="n">
        <x:v>0</x:v>
      </x:c>
      <x:c r="J30" s="8" t="n">
        <x:v>0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{"status":"draft","module":"schedule","title":{"containsAny":["组会"]},"date":"2026-10-01","time":null}</x:v>
      </x:c>
      <x:c r="P30" s="7" t="str">
        <x:v>{"id":"0bd706fd-c4fe-4dfd-aa74-c9ce4ef8449a","title":"组会","notes":"","date":"2026-10-01","time":null,"amount":null,"kind":null,"category":null,"account":null,"timezone":"Asia/Shanghai"}</x:v>
      </x:c>
    </x:row>
    <x:row r="31" ht="132" customHeight="1">
      <x:c r="A31" s="7" t="str">
        <x:v>schedule-08</x:v>
      </x:c>
      <x:c r="B31" s="7" t="str">
        <x:v>schedule</x:v>
      </x:c>
      <x:c r="C31" s="7" t="str">
        <x:v>Schedule a team meeting</x:v>
      </x:c>
      <x:c r="D31" s="7" t="str">
        <x:v>draft</x:v>
      </x:c>
      <x:c r="E31" s="7" t="str">
        <x:v>schedule</x:v>
      </x:c>
      <x:c r="F31" s="7" t="str">
        <x:v>draft</x:v>
      </x:c>
      <x:c r="G31" s="7" t="str">
        <x:v>schedule</x:v>
      </x:c>
      <x:c r="H31" s="8" t="n">
        <x:v>1</x:v>
      </x:c>
      <x:c r="I31" s="8" t="n">
        <x:v>0</x:v>
      </x:c>
      <x:c r="J31" s="8" t="n">
        <x:v>0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{"status":"draft","module":"schedule","title":{"containsAny":["meeting"]},"date":null,"time":null}</x:v>
      </x:c>
      <x:c r="P31" s="7" t="str">
        <x:v>{"id":"cbabccfe-530b-4ef6-b573-3c43e16bf6f0","title":"Team Meeting","notes":"","date":null,"time":null,"amount":null,"kind":null,"category":null,"account":null,"timezone":"Asia/Shanghai"}</x:v>
      </x:c>
    </x:row>
    <x:row r="32" ht="132" customHeight="1">
      <x:c r="A32" s="7" t="str">
        <x:v>schedule-09</x:v>
      </x:c>
      <x:c r="B32" s="7" t="str">
        <x:v>schedule</x:v>
      </x:c>
      <x:c r="C32" s="7" t="str">
        <x:v>明天下午3点半开会</x:v>
      </x:c>
      <x:c r="D32" s="7" t="str">
        <x:v>draft</x:v>
      </x:c>
      <x:c r="E32" s="7" t="str">
        <x:v>schedule</x:v>
      </x:c>
      <x:c r="F32" s="7" t="str">
        <x:v>draft</x:v>
      </x:c>
      <x:c r="G32" s="7" t="str">
        <x:v>schedule</x:v>
      </x:c>
      <x:c r="H32" s="8" t="n">
        <x:v>1</x:v>
      </x:c>
      <x:c r="I32" s="8" t="n">
        <x:v>0</x:v>
      </x:c>
      <x:c r="J32" s="8" t="n">
        <x:v>0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{"status":"draft","module":"schedule","title":{"containsAny":["会"]},"date":"2026-10-01","time":"15:30"}</x:v>
      </x:c>
      <x:c r="P32" s="7" t="str">
        <x:v>{"id":"af581f46-ed9a-4b04-9eaf-2accb910bdb2","title":"会议","notes":"","date":"2026-10-01","time":"15:30","amount":null,"kind":null,"category":null,"account":null,"timezone":"Asia/Shanghai"}</x:v>
      </x:c>
    </x:row>
    <x:row r="33" ht="132" customHeight="1">
      <x:c r="A33" s="7" t="str">
        <x:v>schedule-10</x:v>
      </x:c>
      <x:c r="B33" s="7" t="str">
        <x:v>schedule</x:v>
      </x:c>
      <x:c r="C33" s="7" t="str">
        <x:v>Meeting tomorrow at 12:30 am</x:v>
      </x:c>
      <x:c r="D33" s="7" t="str">
        <x:v>draft</x:v>
      </x:c>
      <x:c r="E33" s="7" t="str">
        <x:v>schedule</x:v>
      </x:c>
      <x:c r="F33" s="7" t="str">
        <x:v>draft</x:v>
      </x:c>
      <x:c r="G33" s="7" t="str">
        <x:v>schedule</x:v>
      </x:c>
      <x:c r="H33" s="8" t="n">
        <x:v>1</x:v>
      </x:c>
      <x:c r="I33" s="8" t="n">
        <x:v>0</x:v>
      </x:c>
      <x:c r="J33" s="8" t="n">
        <x:v>0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{"status":"draft","module":"schedule","title":{"containsAny":["meeting"]},"date":"2026-10-01","time":"00:30"}</x:v>
      </x:c>
      <x:c r="P33" s="7" t="str">
        <x:v>{"id":"97d48080-24a0-4068-baab-2eb4822ed481","title":"Meeting","notes":"","date":"2026-10-01","time":"00:30","amount":null,"kind":null,"category":null,"account":null,"timezone":"Asia/Shanghai"}</x:v>
      </x:c>
    </x:row>
    <x:row r="34" ht="132" customHeight="1">
      <x:c r="A34" s="7" t="str">
        <x:v>health-01</x:v>
      </x:c>
      <x:c r="B34" s="7" t="str">
        <x:v>health</x:v>
      </x:c>
      <x:c r="C34" s="7" t="str">
        <x:v>查看今天的手机使用时长</x:v>
      </x:c>
      <x:c r="D34" s="7" t="str">
        <x:v>draft</x:v>
      </x:c>
      <x:c r="E34" s="7" t="str">
        <x:v>health</x:v>
      </x:c>
      <x:c r="F34" s="7" t="str">
        <x:v>draft</x:v>
      </x:c>
      <x:c r="G34" s="7" t="str">
        <x:v>health</x:v>
      </x:c>
      <x:c r="H34" s="8" t="n">
        <x:v>1</x:v>
      </x:c>
      <x:c r="I34" s="8" t="n">
        <x:v>0</x:v>
      </x:c>
      <x:c r="J34" s="8" t="n">
        <x:v>0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{"status":"draft","module":"health","amount":null,"time":null,"account":null}</x:v>
      </x:c>
      <x:c r="P34" s="7" t="str">
        <x:v>{"id":"4d76b178-a77a-4e9d-b871-e91ad75bfa2d","title":"查看手机使用情况","notes":"","date":"2026-09-30","time":null,"amount":null,"kind":null,"category":null,"account":null,"timezone":"Asia/Shanghai"}</x:v>
      </x:c>
    </x:row>
    <x:row r="35" ht="132" customHeight="1">
      <x:c r="A35" s="7" t="str">
        <x:v>health-02</x:v>
      </x:c>
      <x:c r="B35" s="7" t="str">
        <x:v>health</x:v>
      </x:c>
      <x:c r="C35" s="7" t="str">
        <x:v>Show my screen time today</x:v>
      </x:c>
      <x:c r="D35" s="7" t="str">
        <x:v>draft</x:v>
      </x:c>
      <x:c r="E35" s="7" t="str">
        <x:v>health</x:v>
      </x:c>
      <x:c r="F35" s="7" t="str">
        <x:v>draft</x:v>
      </x:c>
      <x:c r="G35" s="7" t="str">
        <x:v>health</x:v>
      </x:c>
      <x:c r="H35" s="8" t="n">
        <x:v>1</x:v>
      </x:c>
      <x:c r="I35" s="8" t="n">
        <x:v>0</x:v>
      </x:c>
      <x:c r="J35" s="8" t="n">
        <x:v>0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{"status":"draft","module":"health","amount":null,"time":null,"account":null}</x:v>
      </x:c>
      <x:c r="P35" s="7" t="str">
        <x:v>{"id":"6c29a4d1-b5f4-4d55-a247-06bdcaea4cc4","title":"View phone usage","notes":"","date":"2026-09-30","time":null,"amount":null,"kind":null,"category":null,"account":null,"timezone":"Asia/Shanghai"}</x:v>
      </x:c>
    </x:row>
    <x:row r="36" ht="132" customHeight="1">
      <x:c r="A36" s="7" t="str">
        <x:v>health-03</x:v>
      </x:c>
      <x:c r="B36" s="7" t="str">
        <x:v>health</x:v>
      </x:c>
      <x:c r="C36" s="7" t="str">
        <x:v>打开手机使用统计</x:v>
      </x:c>
      <x:c r="D36" s="7" t="str">
        <x:v>draft</x:v>
      </x:c>
      <x:c r="E36" s="7" t="str">
        <x:v>health</x:v>
      </x:c>
      <x:c r="F36" s="7" t="str">
        <x:v>draft</x:v>
      </x:c>
      <x:c r="G36" s="7" t="str">
        <x:v>health</x:v>
      </x:c>
      <x:c r="H36" s="8" t="n">
        <x:v>1</x:v>
      </x:c>
      <x:c r="I36" s="8" t="n">
        <x:v>0</x:v>
      </x:c>
      <x:c r="J36" s="8" t="n">
        <x:v>0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{"status":"draft","module":"health","amount":null,"time":null,"account":null}</x:v>
      </x:c>
      <x:c r="P36" s="7" t="str">
        <x:v>{"id":"20b3952b-08c5-4a15-aaf2-3a2505af4365","title":"查看手机使用情况","notes":"","date":null,"time":null,"amount":null,"kind":null,"category":null,"account":null,"timezone":"Asia/Shanghai"}</x:v>
      </x:c>
    </x:row>
    <x:row r="37" ht="132" customHeight="1">
      <x:c r="A37" s="7" t="str">
        <x:v>health-04</x:v>
      </x:c>
      <x:c r="B37" s="7" t="str">
        <x:v>health</x:v>
      </x:c>
      <x:c r="C37" s="7" t="str">
        <x:v>Open Health to see app usage</x:v>
      </x:c>
      <x:c r="D37" s="7" t="str">
        <x:v>draft</x:v>
      </x:c>
      <x:c r="E37" s="7" t="str">
        <x:v>health</x:v>
      </x:c>
      <x:c r="F37" s="7" t="str">
        <x:v>draft</x:v>
      </x:c>
      <x:c r="G37" s="7" t="str">
        <x:v>health</x:v>
      </x:c>
      <x:c r="H37" s="8" t="n">
        <x:v>1</x:v>
      </x:c>
      <x:c r="I37" s="8" t="n">
        <x:v>0</x:v>
      </x:c>
      <x:c r="J37" s="8" t="n">
        <x:v>0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{"status":"draft","module":"health","amount":null,"time":null,"account":null}</x:v>
      </x:c>
      <x:c r="P37" s="7" t="str">
        <x:v>{"id":"5c6a320f-7349-4c58-902a-7ca343aa1f42","title":"View phone usage","notes":"","date":null,"time":null,"amount":null,"kind":null,"category":null,"account":null,"timezone":"Asia/Shanghai"}</x:v>
      </x:c>
    </x:row>
    <x:row r="38" ht="132" customHeight="1">
      <x:c r="A38" s="7" t="str">
        <x:v>health-05</x:v>
      </x:c>
      <x:c r="B38" s="7" t="str">
        <x:v>health</x:v>
      </x:c>
      <x:c r="C38" s="7" t="str">
        <x:v>查询今天各个app使用情况</x:v>
      </x:c>
      <x:c r="D38" s="7" t="str">
        <x:v>draft</x:v>
      </x:c>
      <x:c r="E38" s="7" t="str">
        <x:v>health</x:v>
      </x:c>
      <x:c r="F38" s="7" t="str">
        <x:v>draft</x:v>
      </x:c>
      <x:c r="G38" s="7" t="str">
        <x:v>health</x:v>
      </x:c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1</x:v>
      </x:c>
      <x:c r="M38" s="8" t="n">
        <x:v>1</x:v>
      </x:c>
      <x:c r="N38" s="7" t="str"/>
      <x:c r="O38" s="7" t="str">
        <x:v>{"status":"draft","module":"health","amount":null,"time":null,"account":null}</x:v>
      </x:c>
      <x:c r="P38" s="7" t="str">
        <x:v>{"id":"65f26cbd-66bd-44da-bee6-3cb6f6b4baa5","title":"查看手机使用情况","notes":"","date":"2026-09-30","time":null,"amount":null,"kind":null,"category":null,"account":null,"timezone":"Asia/Shanghai"}</x:v>
      </x:c>
    </x:row>
    <x:row r="39" ht="132" customHeight="1">
      <x:c r="A39" s="7" t="str">
        <x:v>health-06</x:v>
      </x:c>
      <x:c r="B39" s="7" t="str">
        <x:v>health</x:v>
      </x:c>
      <x:c r="C39" s="7" t="str">
        <x:v>Show screen time</x:v>
      </x:c>
      <x:c r="D39" s="7" t="str">
        <x:v>draft</x:v>
      </x:c>
      <x:c r="E39" s="7" t="str">
        <x:v>health</x:v>
      </x:c>
      <x:c r="F39" s="7" t="str">
        <x:v>draft</x:v>
      </x:c>
      <x:c r="G39" s="7" t="str">
        <x:v>health</x:v>
      </x:c>
      <x:c r="H39" s="8" t="n">
        <x:v>1</x:v>
      </x:c>
      <x:c r="I39" s="8" t="n">
        <x:v>0</x:v>
      </x:c>
      <x:c r="J39" s="8" t="n">
        <x:v>0</x:v>
      </x:c>
      <x:c r="K39" s="8" t="n">
        <x:v>1</x:v>
      </x:c>
      <x:c r="L39" s="8" t="n">
        <x:v>1</x:v>
      </x:c>
      <x:c r="M39" s="8" t="n">
        <x:v>1</x:v>
      </x:c>
      <x:c r="N39" s="7" t="str"/>
      <x:c r="O39" s="7" t="str">
        <x:v>{"status":"draft","module":"health","amount":null,"time":null,"account":null}</x:v>
      </x:c>
      <x:c r="P39" s="7" t="str">
        <x:v>{"id":"720f4b6e-1053-4fc4-ba12-e53f4d96e7a4","title":"View phone usage","notes":"","date":null,"time":null,"amount":null,"kind":null,"category":null,"account":null,"timezone":"Asia/Shanghai"}</x:v>
      </x:c>
    </x:row>
    <x:row r="40" ht="132" customHeight="1">
      <x:c r="A40" s="7" t="str">
        <x:v>clarify-01</x:v>
      </x:c>
      <x:c r="B40" s="7" t="str">
        <x:v>clarify</x:v>
      </x:c>
      <x:c r="C40" s="7" t="str">
        <x:v>Hello</x:v>
      </x:c>
      <x:c r="D40" s="7" t="str">
        <x:v>clarification</x:v>
      </x:c>
      <x:c r="E40" s="7" t="str"/>
      <x:c r="F40" s="7" t="str">
        <x:v>clarification</x:v>
      </x:c>
      <x:c r="G40" s="7" t="str"/>
      <x:c r="H40" s="8" t="n">
        <x:v>1</x:v>
      </x:c>
      <x:c r="I40" s="8" t="n">
        <x:v>0</x:v>
      </x:c>
      <x:c r="J40" s="8" t="n">
        <x:v>0</x:v>
      </x:c>
      <x:c r="K40" s="8" t="n">
        <x:v>1</x:v>
      </x:c>
      <x:c r="L40" s="8" t="n">
        <x:v>0</x:v>
      </x:c>
      <x:c r="M40" s="8" t="n">
        <x:v>0</x:v>
      </x:c>
      <x:c r="N40" s="7" t="str"/>
      <x:c r="O40" s="7" t="str">
        <x:v>{"status":"clarification","module":null,"reason":"unclear"}</x:v>
      </x:c>
      <x:c r="P40" s="7" t="str">
        <x:v>{"status":"clarification","reason":"unclear","module":null,"draft":null,"fields":null}</x:v>
      </x:c>
    </x:row>
    <x:row r="41" ht="132" customHeight="1">
      <x:c r="A41" s="7" t="str">
        <x:v>clarify-02</x:v>
      </x:c>
      <x:c r="B41" s="7" t="str">
        <x:v>clarify</x:v>
      </x:c>
      <x:c r="C41" s="7" t="str">
        <x:v>Coffee cost $12 today</x:v>
      </x:c>
      <x:c r="D41" s="7" t="str">
        <x:v>clarification</x:v>
      </x:c>
      <x:c r="E41" s="7" t="str"/>
      <x:c r="F41" s="7" t="str">
        <x:v>clarification</x:v>
      </x:c>
      <x:c r="G41" s="7" t="str"/>
      <x:c r="H41" s="8" t="n">
        <x:v>1</x:v>
      </x:c>
      <x:c r="I41" s="8" t="n">
        <x:v>0</x:v>
      </x:c>
      <x:c r="J41" s="8" t="n">
        <x:v>0</x:v>
      </x:c>
      <x:c r="K41" s="8" t="n">
        <x:v>1</x:v>
      </x:c>
      <x:c r="L41" s="8" t="n">
        <x:v>0</x:v>
      </x:c>
      <x:c r="M41" s="8" t="n">
        <x:v>0</x:v>
      </x:c>
      <x:c r="N41" s="7" t="str"/>
      <x:c r="O41" s="7" t="str">
        <x:v>{"status":"clarification","module":null,"reason":"unsupported_currency"}</x:v>
      </x:c>
      <x:c r="P41" s="7" t="str">
        <x:v>{"status":"clarification","reason":"unsupported_currency","module":null,"draft":null,"fields":null}</x:v>
      </x:c>
    </x:row>
    <x:row r="42" ht="132" customHeight="1">
      <x:c r="A42" s="7" t="str">
        <x:v>clarify-03</x:v>
      </x:c>
      <x:c r="B42" s="7" t="str">
        <x:v>clarify</x:v>
      </x:c>
      <x:c r="C42" s="7" t="str">
        <x:v>Show yesterday screen time</x:v>
      </x:c>
      <x:c r="D42" s="7" t="str">
        <x:v>clarification</x:v>
      </x:c>
      <x:c r="E42" s="7" t="str"/>
      <x:c r="F42" s="7" t="str">
        <x:v>clarification</x:v>
      </x:c>
      <x:c r="G42" s="7" t="str"/>
      <x:c r="H42" s="8" t="n">
        <x:v>1</x:v>
      </x:c>
      <x:c r="I42" s="8" t="n">
        <x:v>0</x:v>
      </x:c>
      <x:c r="J42" s="8" t="n">
        <x:v>0</x:v>
      </x:c>
      <x:c r="K42" s="8" t="n">
        <x:v>1</x:v>
      </x:c>
      <x:c r="L42" s="8" t="n">
        <x:v>0</x:v>
      </x:c>
      <x:c r="M42" s="8" t="n">
        <x:v>0</x:v>
      </x:c>
      <x:c r="N42" s="7" t="str"/>
      <x:c r="O42" s="7" t="str">
        <x:v>{"status":"clarification","module":null,"reason":"health_today_only"}</x:v>
      </x:c>
      <x:c r="P42" s="7" t="str">
        <x:v>{"status":"clarification","reason":"health_today_only","module":null,"draft":null,"fields":null}</x:v>
      </x:c>
    </x:row>
    <x:row r="43" ht="132" customHeight="1">
      <x:c r="A43" s="7" t="str">
        <x:v>clarify-04</x:v>
      </x:c>
      <x:c r="B43" s="7" t="str">
        <x:v>clarify</x:v>
      </x:c>
      <x:c r="C43" s="7" t="str">
        <x:v>记账午餐20元，再安排明天3点的会议</x:v>
      </x:c>
      <x:c r="D43" s="7" t="str">
        <x:v>clarification</x:v>
      </x:c>
      <x:c r="E43" s="7" t="str"/>
      <x:c r="F43" s="7" t="str">
        <x:v>clarification</x:v>
      </x:c>
      <x:c r="G43" s="7" t="str"/>
      <x:c r="H43" s="8" t="n">
        <x:v>1</x:v>
      </x:c>
      <x:c r="I43" s="8" t="n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7" t="str"/>
      <x:c r="O43" s="7" t="str">
        <x:v>{"status":"clarification","module":null,"reason":"multiple_tasks"}</x:v>
      </x:c>
      <x:c r="P43" s="7" t="str">
        <x:v>{"status":"clarification","reason":"multiple_tasks","module":null,"draft":null,"fields":null}</x:v>
      </x:c>
    </x:row>
  </x:sheetData>
  <x:conditionalFormatting sqref="H4:H43">
    <x:cfRule type="cellIs" dxfId="4" priority="1" operator="equal">
      <x:formula>0</x:formula>
    </x:cfRule>
  </x:conditionalFormatting>
  <x:conditionalFormatting sqref="K4:K43">
    <x:cfRule type="cellIs" dxfId="5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6f4e21a03442df"/>
  </x:tableParts>
</x:worksheet>
</file>