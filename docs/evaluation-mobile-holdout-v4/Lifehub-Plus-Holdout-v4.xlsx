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6b10a2ba8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题结果" sheetId="1" r:id="R435c806f6a0b444b"/>
    <x:sheet xmlns:r="http://schemas.openxmlformats.org/officeDocument/2006/relationships" name="中文120" sheetId="2" r:id="Ra319413dce764910"/>
    <x:sheet xmlns:r="http://schemas.openxmlformats.org/officeDocument/2006/relationships" name="English120" sheetId="3" r:id="R39a3e1eb7d534281"/>
    <x:sheet xmlns:r="http://schemas.openxmlformats.org/officeDocument/2006/relationships" name="失败明细" sheetId="4" r:id="Re707f906dff6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%"/>
  </x:numFmts>
  <x:fonts count="6">
    <x:font>
      <x:sz val="11"/>
      <x:name val="Carlito"/>
    </x:font>
    <x:font>
      <x:sz val="11"/>
      <x:color rgb="FF263443"/>
      <x:name val="Arial"/>
    </x:font>
    <x:font>
      <x:b/>
      <x:sz val="16"/>
      <x:color rgb="FF263443"/>
      <x:name val="Arial"/>
    </x:font>
    <x:font>
      <x:b/>
      <x:sz val="11"/>
      <x:color rgb="FFFFFFFF"/>
      <x:name val="Arial"/>
    </x:font>
    <x:font>
      <x:b/>
      <x:sz val="18"/>
      <x:color rgb="FF263443"/>
      <x:name val="Arial"/>
    </x:font>
    <x:font>
      <x:b/>
      <x:sz val="11"/>
      <x:color rgb="FF2634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F54"/>
      </x:patternFill>
    </x:fill>
    <x:fill>
      <x:patternFill patternType="solid">
        <x:fgColor rgb="FFE9EEF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0D1"/>
        </x:patternFill>
      </x:fill>
    </x:dxf>
    <x:dxf>
      <x:fill>
        <x:patternFill patternType="solid">
          <x:bgColor rgb="FFFFF0D1"/>
        </x:patternFill>
      </x:fill>
    </x:dxf>
    <x:dxf>
      <x:fill>
        <x:patternFill patternType="solid">
          <x:bgColor rgb="FFFFF0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2e3781022470f" /><Relationship Type="http://schemas.openxmlformats.org/officeDocument/2006/relationships/theme" Target="/xl/theme/theme1.xml" Id="R30a4b75774e94d28" /><Relationship Type="http://schemas.openxmlformats.org/officeDocument/2006/relationships/sharedStrings" Target="/xl/sharedStrings.xml" Id="Rb073a4d8a6c743ae" /><Relationship Type="http://schemas.openxmlformats.org/officeDocument/2006/relationships/worksheet" Target="/xl/worksheets/sheet1.xml" Id="R435c806f6a0b444b" /><Relationship Type="http://schemas.openxmlformats.org/officeDocument/2006/relationships/worksheet" Target="/xl/worksheets/sheet2.xml" Id="Ra319413dce764910" /><Relationship Type="http://schemas.openxmlformats.org/officeDocument/2006/relationships/worksheet" Target="/xl/worksheets/sheet3.xml" Id="R39a3e1eb7d534281" /><Relationship Type="http://schemas.openxmlformats.org/officeDocument/2006/relationships/worksheet" Target="/xl/worksheets/sheet4.xml" Id="Re707f906dff64742" /></Relationships>
</file>

<file path=xl/tables/table1.xml><?xml version="1.0" encoding="utf-8"?>
<x:table xmlns:x="http://schemas.openxmlformats.org/spreadsheetml/2006/main" id="1" name="ChineseHoldout" displayName="ChineseHoldout" ref="A3:V123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lishHoldout" displayName="EnglishHoldout" ref="A3:V123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iledCases" displayName="FailedCases" ref="A3:V90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9a1d6ab19644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59611a26644a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b3597791844a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7" customHeight="1">
      <x:c r="A1" s="9" t="str">
        <x:v>Lifehub Plus 新题首测</x:v>
      </x:c>
      <x:c r="B1" s="1"/>
      <x:c r="C1" s="1"/>
      <x:c r="D1" s="1"/>
      <x:c r="E1" s="1"/>
      <x:c r="F1" s="1"/>
      <x:c r="G1" s="1"/>
      <x:c r="H1" s="1"/>
    </x:row>
    <x:row r="2" ht="27" customHeight="1">
      <x:c r="A2" s="1" t="str">
        <x:v>Qwen2.5 1.5B int8 · 中文 120 条 / 英文 120 条 · 四模块均衡</x:v>
      </x:c>
      <x:c r="B2" s="1"/>
      <x:c r="C2" s="1"/>
      <x:c r="D2" s="1"/>
      <x:c r="E2" s="1"/>
      <x:c r="F2" s="1"/>
      <x:c r="G2" s="1"/>
      <x:c r="H2" s="1"/>
    </x:row>
    <x:row r="3" ht="27" customHeight="1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4" t="str">
        <x:v>应用流程指标</x:v>
      </x:c>
      <x:c r="B4" s="4" t="str">
        <x:v>中文通过</x:v>
      </x:c>
      <x:c r="C4" s="4" t="str">
        <x:v>中文总数</x:v>
      </x:c>
      <x:c r="D4" s="4" t="str">
        <x:v>中文比例</x:v>
      </x:c>
      <x:c r="E4" s="4" t="str">
        <x:v>英文通过</x:v>
      </x:c>
      <x:c r="F4" s="4" t="str">
        <x:v>英文总数</x:v>
      </x:c>
      <x:c r="G4" s="4" t="str">
        <x:v>英文比例</x:v>
      </x:c>
      <x:c r="H4" s="4" t="str">
        <x:v>合计比例</x:v>
      </x:c>
    </x:row>
    <x:row r="5" ht="27" customHeight="1">
      <x:c r="A5" s="1" t="str">
        <x:v>模块分类</x:v>
      </x:c>
      <x:c r="B5" s="1" t="n">
        <x:f>SUM('中文120'!H4:H123)</x:f>
        <x:v>89</x:v>
      </x:c>
      <x:c r="C5" s="1" t="n">
        <x:f>COUNTA('中文120'!A4:A123)</x:f>
        <x:v>120</x:v>
      </x:c>
      <x:c r="D5" s="10" t="n">
        <x:f>B5/C5</x:f>
        <x:v>0.7416666666666667</x:v>
      </x:c>
      <x:c r="E5" s="1" t="n">
        <x:f>SUM('English120'!H4:H123)</x:f>
        <x:v>99</x:v>
      </x:c>
      <x:c r="F5" s="1" t="n">
        <x:f>COUNTA('English120'!A4:A123)</x:f>
        <x:v>120</x:v>
      </x:c>
      <x:c r="G5" s="10" t="n">
        <x:f>E5/F5</x:f>
        <x:v>0.825</x:v>
      </x:c>
      <x:c r="H5" s="10" t="n">
        <x:f>(B5+E5)/(C5+F5)</x:f>
        <x:v>0.7833333333333333</x:v>
      </x:c>
    </x:row>
    <x:row r="6" ht="27" customHeight="1">
      <x:c r="A6" s="1" t="str">
        <x:v>必填字段</x:v>
      </x:c>
      <x:c r="B6" s="1" t="n">
        <x:f>SUM('中文120'!I4:I123)</x:f>
        <x:v>200</x:v>
      </x:c>
      <x:c r="C6" s="1" t="n">
        <x:f>SUM('中文120'!J4:J123)</x:f>
        <x:v>216</x:v>
      </x:c>
      <x:c r="D6" s="10" t="n">
        <x:f>B6/C6</x:f>
        <x:v>0.9259259259259259</x:v>
      </x:c>
      <x:c r="E6" s="1" t="n">
        <x:f>SUM('English120'!I4:I123)</x:f>
        <x:v>198</x:v>
      </x:c>
      <x:c r="F6" s="1" t="n">
        <x:f>SUM('English120'!J4:J123)</x:f>
        <x:v>216</x:v>
      </x:c>
      <x:c r="G6" s="10" t="n">
        <x:f>E6/F6</x:f>
        <x:v>0.9166666666666666</x:v>
      </x:c>
      <x:c r="H6" s="10" t="n">
        <x:f>(B6+E6)/(C6+F6)</x:f>
        <x:v>0.9212962962962963</x:v>
      </x:c>
    </x:row>
    <x:row r="7" ht="27" customHeight="1">
      <x:c r="A7" s="1" t="str">
        <x:v>全部指定字段</x:v>
      </x:c>
      <x:c r="B7" s="1" t="n">
        <x:f>SUM('中文120'!K4:K123)</x:f>
        <x:v>69</x:v>
      </x:c>
      <x:c r="C7" s="1" t="n">
        <x:f>COUNTA('中文120'!A4:A123)</x:f>
        <x:v>120</x:v>
      </x:c>
      <x:c r="D7" s="10" t="n">
        <x:f>B7/C7</x:f>
        <x:v>0.575</x:v>
      </x:c>
      <x:c r="E7" s="1" t="n">
        <x:f>SUM('English120'!K4:K123)</x:f>
        <x:v>84</x:v>
      </x:c>
      <x:c r="F7" s="1" t="n">
        <x:f>COUNTA('English120'!A4:A123)</x:f>
        <x:v>120</x:v>
      </x:c>
      <x:c r="G7" s="10" t="n">
        <x:f>E7/F7</x:f>
        <x:v>0.7</x:v>
      </x:c>
      <x:c r="H7" s="10" t="n">
        <x:f>(B7+E7)/(C7+F7)</x:f>
        <x:v>0.6375</x:v>
      </x:c>
    </x:row>
    <x:row r="8" ht="27" customHeight="1">
      <x:c r="A8" s="1" t="str">
        <x:v>支持请求草稿</x:v>
      </x:c>
      <x:c r="B8" s="1" t="n">
        <x:f>SUM('中文120'!M4:M123)</x:f>
        <x:v>59</x:v>
      </x:c>
      <x:c r="C8" s="1" t="n">
        <x:f>SUM('中文120'!L4:L123)</x:f>
        <x:v>90</x:v>
      </x:c>
      <x:c r="D8" s="10" t="n">
        <x:f>B8/C8</x:f>
        <x:v>0.6555555555555556</x:v>
      </x:c>
      <x:c r="E8" s="1" t="n">
        <x:f>SUM('English120'!M4:M123)</x:f>
        <x:v>64</x:v>
      </x:c>
      <x:c r="F8" s="1" t="n">
        <x:f>SUM('English120'!L4:L123)</x:f>
        <x:v>90</x:v>
      </x:c>
      <x:c r="G8" s="10" t="n">
        <x:f>E8/F8</x:f>
        <x:v>0.7111111111111111</x:v>
      </x:c>
      <x:c r="H8" s="10" t="n">
        <x:f>(B8+E8)/(C8+F8)</x:f>
        <x:v>0.6833333333333333</x:v>
      </x:c>
    </x:row>
    <x:row r="9" ht="27" customHeight="1">
      <x:c r="A9" s="1" t="str">
        <x:v>日期字段（含留空）</x:v>
      </x:c>
      <x:c r="B9" s="1" t="n">
        <x:f>SUM('中文120'!U4:U123)</x:f>
        <x:v>62</x:v>
      </x:c>
      <x:c r="C9" s="1" t="n">
        <x:f>SUM('中文120'!T4:T123)</x:f>
        <x:v>72</x:v>
      </x:c>
      <x:c r="D9" s="10" t="n">
        <x:f>B9/C9</x:f>
        <x:v>0.8611111111111112</x:v>
      </x:c>
      <x:c r="E9" s="1" t="n">
        <x:f>SUM('English120'!U4:U123)</x:f>
        <x:v>66</x:v>
      </x:c>
      <x:c r="F9" s="1" t="n">
        <x:f>SUM('English120'!T4:T123)</x:f>
        <x:v>72</x:v>
      </x:c>
      <x:c r="G9" s="10" t="n">
        <x:f>E9/F9</x:f>
        <x:v>0.9166666666666666</x:v>
      </x:c>
      <x:c r="H9" s="10" t="n">
        <x:f>(B9+E9)/(C9+F9)</x:f>
        <x:v>0.8888888888888888</x:v>
      </x:c>
    </x:row>
    <x:row r="10" ht="27" customHeight="1">
      <x:c r="A10" s="1" t="str">
        <x:v>模型原始路由</x:v>
      </x:c>
      <x:c r="B10" s="1" t="n">
        <x:f>SUM('中文120'!S4:S123)</x:f>
        <x:v>81</x:v>
      </x:c>
      <x:c r="C10" s="1" t="n">
        <x:f>SUM('中文120'!R4:R123)</x:f>
        <x:v>117</x:v>
      </x:c>
      <x:c r="D10" s="10" t="n">
        <x:f>B10/C10</x:f>
        <x:v>0.6923076923076923</x:v>
      </x:c>
      <x:c r="E10" s="1" t="n">
        <x:f>SUM('English120'!S4:S123)</x:f>
        <x:v>80</x:v>
      </x:c>
      <x:c r="F10" s="1" t="n">
        <x:f>SUM('English120'!R4:R123)</x:f>
        <x:v>107</x:v>
      </x:c>
      <x:c r="G10" s="10" t="n">
        <x:f>E10/F10</x:f>
        <x:v>0.7476635514018691</x:v>
      </x:c>
      <x:c r="H10" s="10" t="n">
        <x:f>(B10+E10)/(C10+F10)</x:f>
        <x:v>0.71875</x:v>
      </x:c>
    </x:row>
    <x:row r="11" ht="27" customHeight="1">
      <x:c r="A11" s="1"/>
      <x:c r="B11" s="1"/>
      <x:c r="C11" s="1"/>
      <x:c r="D11" s="1"/>
      <x:c r="E11" s="1"/>
      <x:c r="F11" s="1"/>
      <x:c r="G11" s="1"/>
      <x:c r="H11" s="1"/>
    </x:row>
    <x:row r="12" ht="27" customHeight="1">
      <x:c r="A12" s="1"/>
      <x:c r="B12" s="1"/>
      <x:c r="C12" s="1"/>
      <x:c r="D12" s="1"/>
      <x:c r="E12" s="1"/>
      <x:c r="F12" s="1"/>
      <x:c r="G12" s="1"/>
      <x:c r="H12" s="1"/>
    </x:row>
    <x:row r="13" ht="30" customHeight="1">
      <x:c r="A13" s="12" t="str">
        <x:v>模块全部字段</x:v>
      </x:c>
      <x:c r="B13" s="12" t="str">
        <x:v>中文通过</x:v>
      </x:c>
      <x:c r="C13" s="12" t="str">
        <x:v>中文总数</x:v>
      </x:c>
      <x:c r="D13" s="12" t="str">
        <x:v>中文比例</x:v>
      </x:c>
      <x:c r="E13" s="12" t="str">
        <x:v>英文通过</x:v>
      </x:c>
      <x:c r="F13" s="12" t="str">
        <x:v>英文总数</x:v>
      </x:c>
      <x:c r="G13" s="12" t="str">
        <x:v>英文比例</x:v>
      </x:c>
      <x:c r="H13" s="12" t="str">
        <x:v>合计比例</x:v>
      </x:c>
    </x:row>
    <x:row r="14" ht="27" customHeight="1">
      <x:c r="A14" s="1" t="str">
        <x:v>memo</x:v>
      </x:c>
      <x:c r="B14" s="1" t="n">
        <x:f>SUMIF('中文120'!B4:B123,A14,'中文120'!K4:K123)</x:f>
        <x:v>15</x:v>
      </x:c>
      <x:c r="C14" s="1" t="n">
        <x:f>COUNTIF('中文120'!B4:B123,A14)</x:f>
        <x:v>30</x:v>
      </x:c>
      <x:c r="D14" s="10" t="n">
        <x:f>B14/C14</x:f>
        <x:v>0.5</x:v>
      </x:c>
      <x:c r="E14" s="1" t="n">
        <x:f>SUMIF('English120'!B4:B123,A14,'English120'!K4:K123)</x:f>
        <x:v>21</x:v>
      </x:c>
      <x:c r="F14" s="1" t="n">
        <x:f>COUNTIF('English120'!B4:B123,A14)</x:f>
        <x:v>30</x:v>
      </x:c>
      <x:c r="G14" s="10" t="n">
        <x:f>E14/F14</x:f>
        <x:v>0.7</x:v>
      </x:c>
      <x:c r="H14" s="10" t="n">
        <x:f>(B14+E14)/(C14+F14)</x:f>
        <x:v>0.6</x:v>
      </x:c>
    </x:row>
    <x:row r="15" ht="27" customHeight="1">
      <x:c r="A15" s="1" t="str">
        <x:v>finance</x:v>
      </x:c>
      <x:c r="B15" s="1" t="n">
        <x:f>SUMIF('中文120'!B4:B123,A15,'中文120'!K4:K123)</x:f>
        <x:v>19</x:v>
      </x:c>
      <x:c r="C15" s="1" t="n">
        <x:f>COUNTIF('中文120'!B4:B123,A15)</x:f>
        <x:v>30</x:v>
      </x:c>
      <x:c r="D15" s="10" t="n">
        <x:f>B15/C15</x:f>
        <x:v>0.6333333333333333</x:v>
      </x:c>
      <x:c r="E15" s="1" t="n">
        <x:f>SUMIF('English120'!B4:B123,A15,'English120'!K4:K123)</x:f>
        <x:v>20</x:v>
      </x:c>
      <x:c r="F15" s="1" t="n">
        <x:f>COUNTIF('English120'!B4:B123,A15)</x:f>
        <x:v>30</x:v>
      </x:c>
      <x:c r="G15" s="10" t="n">
        <x:f>E15/F15</x:f>
        <x:v>0.6666666666666666</x:v>
      </x:c>
      <x:c r="H15" s="10" t="n">
        <x:f>(B15+E15)/(C15+F15)</x:f>
        <x:v>0.65</x:v>
      </x:c>
    </x:row>
    <x:row r="16" ht="27" customHeight="1">
      <x:c r="A16" s="1" t="str">
        <x:v>schedule</x:v>
      </x:c>
      <x:c r="B16" s="1" t="n">
        <x:f>SUMIF('中文120'!B4:B123,A16,'中文120'!K4:K123)</x:f>
        <x:v>16</x:v>
      </x:c>
      <x:c r="C16" s="1" t="n">
        <x:f>COUNTIF('中文120'!B4:B123,A16)</x:f>
        <x:v>30</x:v>
      </x:c>
      <x:c r="D16" s="10" t="n">
        <x:f>B16/C16</x:f>
        <x:v>0.5333333333333333</x:v>
      </x:c>
      <x:c r="E16" s="1" t="n">
        <x:f>SUMIF('English120'!B4:B123,A16,'English120'!K4:K123)</x:f>
        <x:v>20</x:v>
      </x:c>
      <x:c r="F16" s="1" t="n">
        <x:f>COUNTIF('English120'!B4:B123,A16)</x:f>
        <x:v>30</x:v>
      </x:c>
      <x:c r="G16" s="10" t="n">
        <x:f>E16/F16</x:f>
        <x:v>0.6666666666666666</x:v>
      </x:c>
      <x:c r="H16" s="10" t="n">
        <x:f>(B16+E16)/(C16+F16)</x:f>
        <x:v>0.6</x:v>
      </x:c>
    </x:row>
    <x:row r="17" ht="27" customHeight="1">
      <x:c r="A17" s="1" t="str">
        <x:v>health</x:v>
      </x:c>
      <x:c r="B17" s="1" t="n">
        <x:f>SUMIF('中文120'!B4:B123,A17,'中文120'!K4:K123)</x:f>
        <x:v>19</x:v>
      </x:c>
      <x:c r="C17" s="1" t="n">
        <x:f>COUNTIF('中文120'!B4:B123,A17)</x:f>
        <x:v>30</x:v>
      </x:c>
      <x:c r="D17" s="10" t="n">
        <x:f>B17/C17</x:f>
        <x:v>0.6333333333333333</x:v>
      </x:c>
      <x:c r="E17" s="1" t="n">
        <x:f>SUMIF('English120'!B4:B123,A17,'English120'!K4:K123)</x:f>
        <x:v>23</x:v>
      </x:c>
      <x:c r="F17" s="1" t="n">
        <x:f>COUNTIF('English120'!B4:B123,A17)</x:f>
        <x:v>30</x:v>
      </x:c>
      <x:c r="G17" s="10" t="n">
        <x:f>E17/F17</x:f>
        <x:v>0.7666666666666667</x:v>
      </x:c>
      <x:c r="H17" s="10" t="n">
        <x:f>(B17+E17)/(C17+F17)</x:f>
        <x:v>0.7</x:v>
      </x:c>
    </x:row>
    <x:row r="18" ht="27" customHeight="1">
      <x:c r="A18" s="1"/>
      <x:c r="B18" s="1"/>
      <x:c r="C18" s="1"/>
      <x:c r="D18" s="1"/>
      <x:c r="E18" s="1"/>
      <x:c r="F18" s="1"/>
      <x:c r="G18" s="1"/>
      <x:c r="H18" s="1"/>
    </x:row>
    <x:row r="19" ht="27" customHeight="1">
      <x:c r="A19" s="1"/>
      <x:c r="B19" s="1"/>
      <x:c r="C19" s="1"/>
      <x:c r="D19" s="1"/>
      <x:c r="E19" s="1"/>
      <x:c r="F19" s="1"/>
      <x:c r="G19" s="1"/>
      <x:c r="H19" s="1"/>
    </x:row>
    <x:row r="20" ht="27" customHeight="1">
      <x:c r="A20" s="1" t="str">
        <x:v>实际模型调用</x:v>
      </x:c>
      <x:c r="B20" s="1" t="n">
        <x:v>224</x:v>
      </x:c>
      <x:c r="C20" s="1"/>
      <x:c r="D20" s="1"/>
      <x:c r="E20" s="1"/>
      <x:c r="F20" s="1"/>
      <x:c r="G20" s="1"/>
      <x:c r="H20" s="1"/>
    </x:row>
    <x:row r="21" ht="27" customHeight="1">
      <x:c r="A21" s="1" t="str">
        <x:v>应用预先澄清</x:v>
      </x:c>
      <x:c r="B21" s="1" t="n">
        <x:v>16</x:v>
      </x:c>
      <x:c r="C21" s="1"/>
      <x:c r="D21" s="1"/>
      <x:c r="E21" s="1"/>
      <x:c r="F21" s="1"/>
      <x:c r="G21" s="1"/>
      <x:c r="H21" s="1"/>
    </x:row>
    <x:row r="22" ht="27" customHeight="1">
      <x:c r="A22" s="1" t="str">
        <x:v>处理错误</x:v>
      </x:c>
      <x:c r="B22" s="1" t="n">
        <x:v>7</x:v>
      </x:c>
      <x:c r="C22" s="1"/>
      <x:c r="D22" s="1"/>
      <x:c r="E22" s="1"/>
      <x:c r="F22" s="1"/>
      <x:c r="G22" s="1"/>
      <x:c r="H22" s="1"/>
    </x:row>
    <x:row r="23" ht="27" customHeight="1">
      <x:c r="A23" s="1" t="str">
        <x:v>应澄清却生成草稿</x:v>
      </x:c>
      <x:c r="B23" s="1" t="n">
        <x:v>23</x:v>
      </x:c>
      <x:c r="C23" s="1"/>
      <x:c r="D23" s="1"/>
      <x:c r="E23" s="1"/>
      <x:c r="F23" s="1"/>
      <x:c r="G23" s="1"/>
      <x:c r="H23" s="1"/>
    </x:row>
    <x:row r="24" ht="27" customHeight="1">
      <x:c r="A24" s="1" t="str">
        <x:v>原生进程中断</x:v>
      </x:c>
      <x:c r="B24" s="1" t="n">
        <x:v>0</x:v>
      </x:c>
      <x:c r="C24" s="1"/>
      <x:c r="D24" s="1"/>
      <x:c r="E24" s="1"/>
      <x:c r="F24" s="1"/>
      <x:c r="G24" s="1"/>
      <x:c r="H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</x:row>
    <x:row r="26" ht="27" customHeight="1">
      <x:c r="A26" s="13" t="str">
        <x:v>评测口径</x:v>
      </x:c>
      <x:c r="B26" s="1"/>
      <x:c r="C26" s="1"/>
      <x:c r="D26" s="1"/>
      <x:c r="E26" s="1"/>
      <x:c r="F26" s="1"/>
      <x:c r="G26" s="1"/>
      <x:c r="H26" s="1"/>
    </x:row>
    <x:row r="27" ht="27" customHeight="1">
      <x:c r="A27" s="1" t="str">
        <x:v>新编写的 240 条输入，运行前冻结题目、预期答案、代码和评分规则，单次尝试。</x:v>
      </x:c>
      <x:c r="B27" s="1"/>
      <x:c r="C27" s="1"/>
      <x:c r="D27" s="1"/>
      <x:c r="E27" s="1"/>
      <x:c r="F27" s="1"/>
      <x:c r="G27" s="1"/>
      <x:c r="H27" s="1"/>
    </x:row>
    <x:row r="28" ht="27" customHeight="1">
      <x:c r="A28" s="1" t="str">
        <x:v>标题修复后首测，本轮测试期间没有依据结果修改题目、提示或规则。</x:v>
      </x:c>
      <x:c r="B28" s="1"/>
      <x:c r="C28" s="1"/>
      <x:c r="D28" s="1"/>
      <x:c r="E28" s="1"/>
      <x:c r="F28" s="1"/>
      <x:c r="G28" s="1"/>
      <x:c r="H28" s="1"/>
    </x:row>
    <x:row r="29" ht="27" customHeight="1">
      <x:c r="A29" s="1" t="str">
        <x:v>Windows CPU 运行同模型、同版本推理库及应用校验；不是安卓推理测量。</x:v>
      </x:c>
      <x:c r="B29" s="1"/>
      <x:c r="C29" s="1"/>
      <x:c r="D29" s="1"/>
      <x:c r="E29" s="1"/>
      <x:c r="F29" s="1"/>
      <x:c r="G29" s="1"/>
      <x:c r="H29" s="1"/>
    </x:row>
    <x:row r="30" ht="27" customHeight="1">
      <x:c r="A30" s="1" t="str">
        <x:v>应用指标包含模型和校验规则；原始路由只统计实际调用模型的输入。</x:v>
      </x:c>
      <x:c r="B30" s="1"/>
      <x:c r="C30" s="1"/>
      <x:c r="D30" s="1"/>
      <x:c r="E30" s="1"/>
      <x:c r="F30" s="1"/>
      <x:c r="G30" s="1"/>
      <x:c r="H30" s="1"/>
    </x:row>
    <x:row r="31" ht="27" customHeight="1">
      <x:c r="A31" s="1" t="str">
        <x:v>180 条预期草稿、60 条预期澄清；标题按预先标注关键词评分。</x:v>
      </x:c>
      <x:c r="B31" s="1"/>
      <x:c r="C31" s="1"/>
      <x:c r="D31" s="1"/>
      <x:c r="E31" s="1"/>
      <x:c r="F31" s="1"/>
      <x:c r="G31" s="1"/>
      <x:c r="H31" s="1"/>
    </x:row>
    <x:row r="32" ht="27" customHeight="1">
      <x:c r="A32" s="1" t="str">
        <x:v>107 项 Python、20 项单元及 23 项 Android 集成检查通过，单独统计。</x:v>
      </x:c>
      <x:c r="B32" s="1"/>
      <x:c r="C32" s="1"/>
      <x:c r="D32" s="1"/>
      <x:c r="E32" s="1"/>
      <x:c r="F32" s="1"/>
      <x:c r="G32" s="1"/>
      <x:c r="H32" s="1"/>
    </x:row>
    <x:row r="33" ht="27" customHeight="1">
      <x:c r="A33" s="1" t="str">
        <x:v>题目由开发助手编写，中英文场景存在关联；不是第三方独立基准。</x:v>
      </x:c>
      <x:c r="B33" s="1"/>
      <x:c r="C33" s="1"/>
      <x:c r="D33" s="1"/>
      <x:c r="E33" s="1"/>
      <x:c r="F33" s="1"/>
      <x:c r="G33" s="1"/>
      <x:c r="H33" s="1"/>
    </x:row>
    <x:row r="34" ht="27" customHeight="1">
      <x:c r="A34" s="1" t="str">
        <x:v>草稿检查不代表数据库写入成功；实际记录仍须用户审阅确认。</x:v>
      </x:c>
      <x:c r="B34" s="1"/>
      <x:c r="C34" s="1"/>
      <x:c r="D34" s="1"/>
      <x:c r="E34" s="1"/>
      <x:c r="F34" s="1"/>
      <x:c r="G34" s="1"/>
      <x:c r="H34" s="1"/>
    </x:row>
    <x:row r="35" ht="27" customHeight="1">
      <x:c r="A35" s="1"/>
      <x:c r="B35" s="1"/>
      <x:c r="C35" s="1"/>
      <x:c r="D35" s="1"/>
      <x:c r="E35" s="1"/>
      <x:c r="F35" s="1"/>
      <x:c r="G35" s="1"/>
      <x:c r="H35" s="1"/>
    </x:row>
    <x:row r="36" ht="27" customHeight="1">
      <x:c r="A36" s="1" t="str">
        <x:v>数据来源</x:v>
      </x:c>
      <x:c r="B36" s="1" t="str">
        <x:v>https://github.com/lana0323/Lifehub-Plus/tree/main/docs/evaluation-mobile-holdout-v4</x:v>
      </x:c>
      <x:c r="C36" s="1"/>
      <x:c r="D36" s="1"/>
      <x:c r="E36" s="1"/>
      <x:c r="F36" s="1"/>
      <x:c r="G36" s="1"/>
      <x:c r="H36" s="1"/>
    </x:row>
    <x:row r="37" ht="27" customHeight="1">
      <x:c r="A37" s="1" t="str">
        <x:v>冻结版本</x:v>
      </x:c>
      <x:c r="B37" s="1" t="str">
        <x:v>dad48d7（标题修复版本）；冻结协议见报告</x:v>
      </x:c>
      <x:c r="C37" s="1"/>
      <x:c r="D37" s="1"/>
      <x:c r="E37" s="1"/>
      <x:c r="F37" s="1"/>
      <x:c r="G37" s="1"/>
      <x:c r="H37" s="1"/>
    </x:row>
    <x:row r="38" ht="27" customHeight="1">
      <x:c r="A38" s="1" t="str">
        <x:v>协议与哈希</x:v>
      </x:c>
      <x:c r="B38" s="1" t="str">
        <x:v>数据与代码哈希：docs/evaluation-mobile-holdout-v4/protocol.json</x:v>
      </x:c>
      <x:c r="C38" s="1"/>
      <x:c r="D38" s="1"/>
      <x:c r="E38" s="1"/>
      <x:c r="F38" s="1"/>
      <x:c r="G38" s="1"/>
      <x:c r="H38" s="1"/>
    </x:row>
    <x:row r="39" ht="27" customHeight="1">
      <x:c r="A39" s="1"/>
      <x:c r="B39" s="1"/>
      <x:c r="C39" s="1"/>
      <x:c r="D39" s="1"/>
      <x:c r="E39" s="1"/>
      <x:c r="F39" s="1"/>
      <x:c r="G39" s="1"/>
      <x:c r="H39" s="1"/>
    </x:row>
    <x:row r="40" ht="27" customHeight="1">
      <x:c r="A40" s="1" t="str">
        <x:v>完整报告</x:v>
      </x:c>
      <x:c r="B40" s="1" t="str">
        <x:v>https://github.com/lana0323/Lifehub-Plus/tree/main/docs/evaluation-mobile-holdout-v4</x:v>
      </x:c>
      <x:c r="C40" s="1"/>
      <x:c r="D40" s="1"/>
      <x:c r="E40" s="1"/>
      <x:c r="F40" s="1"/>
      <x:c r="G40" s="1"/>
      <x:c r="H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</x:row>
    <x:row r="42" ht="27" customHeight="1">
      <x:c r="A42" s="1"/>
      <x:c r="B42" s="1"/>
      <x:c r="C42" s="1"/>
      <x:c r="D42" s="1"/>
      <x:c r="E42" s="1"/>
      <x:c r="F42" s="1"/>
      <x:c r="G42" s="1"/>
      <x:c r="H4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中文120 冻结首测明细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mh4-schedule-zh-27</x:v>
      </x:c>
      <x:c r="B4" s="7" t="str">
        <x:v>schedule</x:v>
      </x:c>
      <x:c r="C4" s="7" t="str">
        <x:v>我明天有什么安排，列给我看看。</x:v>
      </x:c>
      <x:c r="D4" s="7" t="str">
        <x:v>clarification</x:v>
      </x:c>
      <x:c r="E4" s="7" t="str"/>
      <x:c r="F4" s="7" t="str">
        <x:v>draft</x:v>
      </x:c>
      <x:c r="G4" s="7" t="str">
        <x:v>schedule</x:v>
      </x:c>
      <x:c r="H4" s="8" t="n">
        <x:v>0</x:v>
      </x:c>
      <x:c r="I4" s="8" t="n">
        <x:v>0</x:v>
      </x:c>
      <x:c r="J4" s="8" t="n">
        <x:v>0</x:v>
      </x:c>
      <x:c r="K4" s="8" t="n">
        <x:v>0</x:v>
      </x:c>
      <x:c r="L4" s="8" t="n">
        <x:v>0</x:v>
      </x:c>
      <x:c r="M4" s="8" t="n">
        <x:v>0</x:v>
      </x:c>
      <x:c r="N4" s="7" t="str">
        <x:v>status, module</x:v>
      </x:c>
      <x:c r="O4" s="7" t="str">
        <x:v>{"status":"clarification","module":null}</x:v>
      </x:c>
      <x:c r="P4" s="7" t="str">
        <x:v>{"status":"draft","reason":null,"module":"schedule","draft":null,"fields":{"id":"9465112f-7cd3-4187-bc4a-2010c34e8ce6","title":"明天的安排","notes":"","date":"2026-10-07","time":null,"amount":null,"kind":null,"category":null,"account":null,"timezone":"Asia/Shanghai"}}</x:v>
      </x:c>
      <x:c r="Q4" s="7" t="str">
        <x:v>{"intent":"single_task","module":"schedule","title":"明天的安排","notes":""}</x:v>
      </x:c>
      <x:c r="R4" s="8" t="n">
        <x:v>1</x:v>
      </x:c>
      <x:c r="S4" s="8" t="n">
        <x:v>0</x:v>
      </x:c>
      <x:c r="T4" s="8" t="n">
        <x:v>0</x:v>
      </x:c>
      <x:c r="U4" s="8" t="n">
        <x:v>0</x:v>
      </x:c>
      <x:c r="V4" s="7" t="str">
        <x:v>unsupported_query</x:v>
      </x:c>
    </x:row>
    <x:row r="5" ht="88" customHeight="1">
      <x:c r="A5" s="7" t="str">
        <x:v>mh4-health-zh-12</x:v>
      </x:c>
      <x:c r="B5" s="7" t="str">
        <x:v>health</x:v>
      </x:c>
      <x:c r="C5" s="7" t="str">
        <x:v>请把我带到数字健康的使用统计界面。</x:v>
      </x:c>
      <x:c r="D5" s="7" t="str">
        <x:v>draft</x:v>
      </x:c>
      <x:c r="E5" s="7" t="str">
        <x:v>health</x:v>
      </x:c>
      <x:c r="F5" s="7" t="str">
        <x:v>draft</x:v>
      </x:c>
      <x:c r="G5" s="7" t="str">
        <x:v>health</x:v>
      </x:c>
      <x:c r="H5" s="8" t="n">
        <x:v>1</x:v>
      </x:c>
      <x:c r="I5" s="8" t="n">
        <x:v>0</x:v>
      </x:c>
      <x:c r="J5" s="8" t="n">
        <x:v>0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{"status":"draft","module":"health"}</x:v>
      </x:c>
      <x:c r="P5" s="7" t="str">
        <x:v>{"status":"draft","reason":null,"module":"health","draft":null,"fields":{"id":"6ee2ab06-bc29-4bfa-90cf-06ad5347dccf","title":"查看手机使用情况","notes":"","date":null,"time":null,"amount":null,"kind":null,"category":null,"account":null,"timezone":"Asia/Shanghai"}}</x:v>
      </x:c>
      <x:c r="Q5" s="7" t="str">
        <x:v>{"intent":"single_task","module":"health","title":"查看数字健康使用统计","notes":""}</x:v>
      </x:c>
      <x:c r="R5" s="8" t="n">
        <x:v>1</x:v>
      </x:c>
      <x:c r="S5" s="8" t="n">
        <x:v>1</x:v>
      </x:c>
      <x:c r="T5" s="8" t="n">
        <x:v>0</x:v>
      </x:c>
      <x:c r="U5" s="8" t="n">
        <x:v>0</x:v>
      </x:c>
      <x:c r="V5" s="7" t="str">
        <x:v>open_page</x:v>
      </x:c>
    </x:row>
    <x:row r="6" ht="90" customHeight="1">
      <x:c r="A6" s="7" t="str">
        <x:v>mh4-memo-zh-13</x:v>
      </x:c>
      <x:c r="B6" s="7" t="str">
        <x:v>memo</x:v>
      </x:c>
      <x:c r="C6" s="7" t="str">
        <x:v>这周一之前贴好行李标签，先照原话加到待办。</x:v>
      </x:c>
      <x:c r="D6" s="7" t="str">
        <x:v>draft</x:v>
      </x:c>
      <x:c r="E6" s="7" t="str">
        <x:v>memo</x:v>
      </x:c>
      <x:c r="F6" s="7" t="str">
        <x:v>draft</x:v>
      </x:c>
      <x:c r="G6" s="7" t="str">
        <x:v>memo</x:v>
      </x:c>
      <x:c r="H6" s="8" t="n">
        <x:v>1</x:v>
      </x:c>
      <x:c r="I6" s="8" t="n">
        <x:v>0</x:v>
      </x:c>
      <x:c r="J6" s="8" t="n">
        <x:v>1</x:v>
      </x:c>
      <x:c r="K6" s="8" t="n">
        <x:v>0</x:v>
      </x:c>
      <x:c r="L6" s="8" t="n">
        <x:v>1</x:v>
      </x:c>
      <x:c r="M6" s="8" t="n">
        <x:v>0</x:v>
      </x:c>
      <x:c r="N6" s="7" t="str">
        <x:v>title</x:v>
      </x:c>
      <x:c r="O6" s="7" t="str">
        <x:v>{"status":"draft","module":"memo","title":{"containsAny":["行李","标签"]},"date":null,"priority":null}</x:v>
      </x:c>
      <x:c r="P6" s="7" t="str">
        <x:v>{"status":"draft","reason":null,"draft":{"id":"2e211fc3-f0e3-4a1b-9628-b13ae6545f8b","title":"先照原话加到待办","notes":"先照原话加到待办","dueDate":null,"timezone":"Asia/Shanghai","priority":null,"dateText":"这周一","warnings":["past_date","date_needs_review","priority_missing"]},"module":"memo","fields":null}</x:v>
      </x:c>
      <x:c r="Q6" s="7" t="str">
        <x:v>{"intent":"single_task","module":"schedule","title":"贴行李标签","notes":"先照原话加到待办","date_text":"这周一之前"}</x:v>
      </x:c>
      <x:c r="R6" s="8" t="n">
        <x:v>1</x:v>
      </x:c>
      <x:c r="S6" s="8" t="n">
        <x:v>0</x:v>
      </x:c>
      <x:c r="T6" s="8" t="n">
        <x:v>1</x:v>
      </x:c>
      <x:c r="U6" s="8" t="n">
        <x:v>1</x:v>
      </x:c>
      <x:c r="V6" s="7" t="str">
        <x:v>past_deadline</x:v>
      </x:c>
    </x:row>
    <x:row r="7" ht="88" customHeight="1">
      <x:c r="A7" s="7" t="str">
        <x:v>mh4-memo-zh-04</x:v>
      </x:c>
      <x:c r="B7" s="7" t="str">
        <x:v>memo</x:v>
      </x:c>
      <x:c r="C7" s="7" t="str">
        <x:v>赶哪天空了把床底的纸箱拆掉，帮我先记着。</x:v>
      </x:c>
      <x:c r="D7" s="7" t="str">
        <x:v>draft</x:v>
      </x:c>
      <x:c r="E7" s="7" t="str">
        <x:v>memo</x:v>
      </x:c>
      <x:c r="F7" s="7" t="str">
        <x:v>draft</x:v>
      </x:c>
      <x:c r="G7" s="7" t="str">
        <x:v>memo</x:v>
      </x:c>
      <x:c r="H7" s="8" t="n">
        <x:v>1</x:v>
      </x:c>
      <x:c r="I7" s="8" t="n">
        <x:v>1</x:v>
      </x:c>
      <x:c r="J7" s="8" t="n">
        <x:v>1</x:v>
      </x:c>
      <x:c r="K7" s="8" t="n">
        <x:v>1</x:v>
      </x:c>
      <x:c r="L7" s="8" t="n">
        <x:v>1</x:v>
      </x:c>
      <x:c r="M7" s="8" t="n">
        <x:v>1</x:v>
      </x:c>
      <x:c r="N7" s="7" t="str"/>
      <x:c r="O7" s="7" t="str">
        <x:v>{"status":"draft","module":"memo","title":{"containsAny":["纸箱"]},"date":null,"priority":null}</x:v>
      </x:c>
      <x:c r="P7" s="7" t="str">
        <x:v>{"status":"draft","reason":null,"draft":{"id":"c2ea4d10-8a7e-4aa8-ad87-19660ffbff89","title":"拆床底纸箱","notes":"赶空","dueDate":null,"timezone":"Asia/Shanghai","priority":null,"dateText":null,"warnings":["date_missing","priority_missing"]},"module":"memo","fields":null}</x:v>
      </x:c>
      <x:c r="Q7" s="7" t="str">
        <x:v>{"intent":"single_task","module":"memo","title":"拆床底纸箱","notes":"赶空","date_text":"null","time_text":"null"}</x:v>
      </x:c>
      <x:c r="R7" s="8" t="n">
        <x:v>1</x:v>
      </x:c>
      <x:c r="S7" s="8" t="n">
        <x:v>1</x:v>
      </x:c>
      <x:c r="T7" s="8" t="n">
        <x:v>1</x:v>
      </x:c>
      <x:c r="U7" s="8" t="n">
        <x:v>1</x:v>
      </x:c>
      <x:c r="V7" s="7" t="str">
        <x:v>vague_date</x:v>
      </x:c>
    </x:row>
    <x:row r="8" ht="90" customHeight="1">
      <x:c r="A8" s="7" t="str">
        <x:v>mh4-finance-zh-07</x:v>
      </x:c>
      <x:c r="B8" s="7" t="str">
        <x:v>finance</x:v>
      </x:c>
      <x:c r="C8" s="7" t="str">
        <x:v>周末兼职的钱今天收到，现金150元，记收入。</x:v>
      </x:c>
      <x:c r="D8" s="7" t="str">
        <x:v>draft</x:v>
      </x:c>
      <x:c r="E8" s="7" t="str">
        <x:v>finance</x:v>
      </x:c>
      <x:c r="F8" s="7" t="str">
        <x:v>draft</x:v>
      </x:c>
      <x:c r="G8" s="7" t="str">
        <x:v>finance</x:v>
      </x:c>
      <x:c r="H8" s="8" t="n">
        <x:v>1</x:v>
      </x:c>
      <x:c r="I8" s="8" t="n">
        <x:v>6</x:v>
      </x:c>
      <x:c r="J8" s="8" t="n">
        <x:v>6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{"status":"draft","module":"finance","title":{"containsAny":["兼职"]},"amount":"150","kind":"income","category":"Part-time Job","account":"Cash","date":"2026-10-06"}</x:v>
      </x:c>
      <x:c r="P8" s="7" t="str">
        <x:v>{"status":"draft","reason":null,"module":"finance","draft":null,"fields":{"id":"66f9c7c2-70b1-41a3-902c-c07a8d9e60db","title":"周末兼职的钱今天收到，现金150元，记收入。","notes":"现金150元","date":"2026-10-06","time":null,"amount":"150","kind":"income","category":"Part-time Job","account":"Cash","timezone":"Asia/Shanghai"}}</x:v>
      </x:c>
      <x:c r="Q8" s="7" t="str">
        <x:v>{"intent":"single_task","module":"finance","title":"收入","notes":"现金150元","date_text":"今天","amount":"150","kind":"income","category":"Salary","account":"Cash"}</x:v>
      </x:c>
      <x:c r="R8" s="8" t="n">
        <x:v>1</x:v>
      </x:c>
      <x:c r="S8" s="8" t="n">
        <x:v>1</x:v>
      </x:c>
      <x:c r="T8" s="8" t="n">
        <x:v>1</x:v>
      </x:c>
      <x:c r="U8" s="8" t="n">
        <x:v>1</x:v>
      </x:c>
      <x:c r="V8" s="7" t="str">
        <x:v>complete</x:v>
      </x:c>
    </x:row>
    <x:row r="9" ht="90" customHeight="1">
      <x:c r="A9" s="7" t="str">
        <x:v>mh4-finance-zh-28</x:v>
      </x:c>
      <x:c r="B9" s="7" t="str">
        <x:v>finance</x:v>
      </x:c>
      <x:c r="C9" s="7" t="str">
        <x:v>先记今天9元早餐，再记18元晚饭，两笔都用微信。</x:v>
      </x:c>
      <x:c r="D9" s="7" t="str">
        <x:v>clarification</x:v>
      </x:c>
      <x:c r="E9" s="7" t="str"/>
      <x:c r="F9" s="7" t="str"/>
      <x:c r="G9" s="7" t="str"/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7" t="str">
        <x:v>ValueError</x:v>
      </x:c>
      <x:c r="O9" s="7" t="str">
        <x:v>{"status":"clarification","module":null}</x:v>
      </x:c>
      <x:c r="P9" s="7" t="str">
        <x:v>{}</x:v>
      </x:c>
      <x:c r="Q9" s="7" t="str">
        <x:v>{"intent":"single_task","module":"finance","title":"早餐","notes":"9元","date_text":"今天","amount":"9","kind":"expense","category":"Food &amp; Drinks","account":"WeChat"}  
{"intent":"single_task","module":"finance","title":"晚饭","notes":"18元","date_text":"今天","amount":"18","kind":"expense","category":"Food &amp; Drinks","account":"WeChat"}</x:v>
      </x:c>
      <x:c r="R9" s="8" t="n">
        <x:v>1</x:v>
      </x:c>
      <x:c r="S9" s="8" t="n">
        <x:v>0</x:v>
      </x:c>
      <x:c r="T9" s="8" t="n">
        <x:v>0</x:v>
      </x:c>
      <x:c r="U9" s="8" t="n">
        <x:v>0</x:v>
      </x:c>
      <x:c r="V9" s="7" t="str">
        <x:v>multiple_actions</x:v>
      </x:c>
    </x:row>
    <x:row r="10" ht="90" customHeight="1">
      <x:c r="A10" s="7" t="str">
        <x:v>mh4-finance-zh-22</x:v>
      </x:c>
      <x:c r="B10" s="7" t="str">
        <x:v>finance</x:v>
      </x:c>
      <x:c r="C10" s="7" t="str">
        <x:v>记个账，今天用支附宝付了面包钱9元。我说的是支付宝。</x:v>
      </x:c>
      <x:c r="D10" s="7" t="str">
        <x:v>draft</x:v>
      </x:c>
      <x:c r="E10" s="7" t="str">
        <x:v>finance</x:v>
      </x:c>
      <x:c r="F10" s="7" t="str">
        <x:v>draft</x:v>
      </x:c>
      <x:c r="G10" s="7" t="str">
        <x:v>finance</x:v>
      </x:c>
      <x:c r="H10" s="8" t="n">
        <x:v>1</x:v>
      </x:c>
      <x:c r="I10" s="8" t="n">
        <x:v>6</x:v>
      </x:c>
      <x:c r="J10" s="8" t="n">
        <x:v>6</x:v>
      </x:c>
      <x:c r="K10" s="8" t="n">
        <x:v>1</x:v>
      </x:c>
      <x:c r="L10" s="8" t="n">
        <x:v>1</x:v>
      </x:c>
      <x:c r="M10" s="8" t="n">
        <x:v>1</x:v>
      </x:c>
      <x:c r="N10" s="7" t="str"/>
      <x:c r="O10" s="7" t="str">
        <x:v>{"status":"draft","module":"finance","title":{"containsAny":["面包"]},"amount":"9","kind":"expense","category":"Food &amp; Drinks","account":"Alipay","date":"2026-10-06"}</x:v>
      </x:c>
      <x:c r="P10" s="7" t="str">
        <x:v>{"status":"draft","reason":null,"module":"finance","draft":null,"fields":{"id":"7db07567-8989-49f3-9b1f-a942cab43c90","title":"记个账，今天用支附宝付了面包钱9元","notes":"","date":"2026-10-06","time":null,"amount":"9","kind":"expense","category":"Food &amp; Drinks","account":"Alipay","timezone":"Asia/Shanghai"}}</x:v>
      </x:c>
      <x:c r="Q10" s="7" t="str">
        <x:v>{"intent":"single_task","module":"finance","title":"支付面包钱","notes":"","date_text":"今天","amount":"9","kind":"expense","category":"Shopping","account":"Alipay"}</x:v>
      </x:c>
      <x:c r="R10" s="8" t="n">
        <x:v>1</x:v>
      </x:c>
      <x:c r="S10" s="8" t="n">
        <x:v>1</x:v>
      </x:c>
      <x:c r="T10" s="8" t="n">
        <x:v>1</x:v>
      </x:c>
      <x:c r="U10" s="8" t="n">
        <x:v>1</x:v>
      </x:c>
      <x:c r="V10" s="7" t="str">
        <x:v>typo</x:v>
      </x:c>
    </x:row>
    <x:row r="11" ht="88" customHeight="1">
      <x:c r="A11" s="7" t="str">
        <x:v>mh4-memo-zh-06</x:v>
      </x:c>
      <x:c r="B11" s="7" t="str">
        <x:v>memo</x:v>
      </x:c>
      <x:c r="C11" s="7" t="str">
        <x:v>先记待办买窗帘，预计花260块，现在还没有买。</x:v>
      </x:c>
      <x:c r="D11" s="7" t="str">
        <x:v>draft</x:v>
      </x:c>
      <x:c r="E11" s="7" t="str">
        <x:v>memo</x:v>
      </x:c>
      <x:c r="F11" s="7" t="str">
        <x:v>draft</x:v>
      </x:c>
      <x:c r="G11" s="7" t="str">
        <x:v>memo</x:v>
      </x:c>
      <x:c r="H11" s="8" t="n">
        <x:v>1</x:v>
      </x:c>
      <x:c r="I11" s="8" t="n">
        <x:v>1</x:v>
      </x:c>
      <x:c r="J11" s="8" t="n">
        <x:v>1</x:v>
      </x:c>
      <x:c r="K11" s="8" t="n">
        <x:v>1</x:v>
      </x:c>
      <x:c r="L11" s="8" t="n">
        <x:v>1</x:v>
      </x:c>
      <x:c r="M11" s="8" t="n">
        <x:v>1</x:v>
      </x:c>
      <x:c r="N11" s="7" t="str"/>
      <x:c r="O11" s="7" t="str">
        <x:v>{"status":"draft","module":"memo","title":{"containsAny":["窗帘"]},"date":null,"priority":null}</x:v>
      </x:c>
      <x:c r="P11" s="7" t="str">
        <x:v>{"status":"draft","reason":null,"draft":{"id":"03076084-c5e8-4e3c-a01a-f3af1b0c49fd","title":"买窗帘","notes":"预计花260块","dueDate":null,"timezone":"Asia/Shanghai","priority":null,"dateText":null,"warnings":["date_missing","priority_missing"]},"module":"memo","fields":null}</x:v>
      </x:c>
      <x:c r="Q11" s="7" t="str">
        <x:v>{"intent":"single_task","module":"memo","title":"买窗帘","notes":"预计花260块","date_text":"null","priority":"null"}</x:v>
      </x:c>
      <x:c r="R11" s="8" t="n">
        <x:v>1</x:v>
      </x:c>
      <x:c r="S11" s="8" t="n">
        <x:v>1</x:v>
      </x:c>
      <x:c r="T11" s="8" t="n">
        <x:v>1</x:v>
      </x:c>
      <x:c r="U11" s="8" t="n">
        <x:v>1</x:v>
      </x:c>
      <x:c r="V11" s="7" t="str">
        <x:v>future_purchase</x:v>
      </x:c>
    </x:row>
    <x:row r="12" ht="88" customHeight="1">
      <x:c r="A12" s="7" t="str">
        <x:v>mh4-finance-zh-27</x:v>
      </x:c>
      <x:c r="B12" s="7" t="str">
        <x:v>finance</x:v>
      </x:c>
      <x:c r="C12" s="7" t="str">
        <x:v>把今天所有娱乐支出加起来给我看。</x:v>
      </x:c>
      <x:c r="D12" s="7" t="str">
        <x:v>clarification</x:v>
      </x:c>
      <x:c r="E12" s="7" t="str"/>
      <x:c r="F12" s="7" t="str">
        <x:v>draft</x:v>
      </x:c>
      <x:c r="G12" s="7" t="str">
        <x:v>finance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  <x:c r="N12" s="7" t="str">
        <x:v>status, module</x:v>
      </x:c>
      <x:c r="O12" s="7" t="str">
        <x:v>{"status":"clarification","module":null}</x:v>
      </x:c>
      <x:c r="P12" s="7" t="str">
        <x:v>{"status":"draft","reason":null,"module":"finance","draft":null,"fields":{"id":"39e34f0a-897c-4810-b7b4-060cfe64d6cd","title":"娱乐支出","notes":"","date":"2026-10-06","time":null,"amount":null,"kind":"expense","category":"Entertainment","account":null,"timezone":"Asia/Shanghai"}}</x:v>
      </x:c>
      <x:c r="Q12" s="7" t="str">
        <x:v>{"intent":"single_task","module":"finance","title":"娱乐支出","notes":"","date_text":"今天","category":"Entertainment","kind":"expense"}</x:v>
      </x:c>
      <x:c r="R12" s="8" t="n">
        <x:v>1</x:v>
      </x:c>
      <x:c r="S12" s="8" t="n">
        <x:v>0</x:v>
      </x:c>
      <x:c r="T12" s="8" t="n">
        <x:v>0</x:v>
      </x:c>
      <x:c r="U12" s="8" t="n">
        <x:v>0</x:v>
      </x:c>
      <x:c r="V12" s="7" t="str">
        <x:v>unsupported_query</x:v>
      </x:c>
    </x:row>
    <x:row r="13" ht="88" customHeight="1">
      <x:c r="A13" s="7" t="str">
        <x:v>mh4-health-zh-30</x:v>
      </x:c>
      <x:c r="B13" s="7" t="str">
        <x:v>health</x:v>
      </x:c>
      <x:c r="C13" s="7" t="str">
        <x:v>删除系统保存的所有应用使用历史。</x:v>
      </x:c>
      <x:c r="D13" s="7" t="str">
        <x:v>clarification</x:v>
      </x:c>
      <x:c r="E13" s="7" t="str"/>
      <x:c r="F13" s="7" t="str">
        <x:v>clarification</x:v>
      </x:c>
      <x:c r="G13" s="7" t="str"/>
      <x:c r="H13" s="8" t="n">
        <x:v>1</x:v>
      </x:c>
      <x:c r="I13" s="8" t="n">
        <x:v>0</x:v>
      </x:c>
      <x:c r="J13" s="8" t="n">
        <x:v>0</x:v>
      </x:c>
      <x:c r="K13" s="8" t="n">
        <x:v>1</x:v>
      </x:c>
      <x:c r="L13" s="8" t="n">
        <x:v>0</x:v>
      </x:c>
      <x:c r="M13" s="8" t="n">
        <x:v>0</x:v>
      </x:c>
      <x:c r="N13" s="7" t="str"/>
      <x:c r="O13" s="7" t="str">
        <x:v>{"status":"clarification","module":null}</x:v>
      </x:c>
      <x:c r="P13" s="7" t="str">
        <x:v>{"status":"clarification","reason":"unsupported_action","module":null,"draft":null,"fields":null}</x:v>
      </x:c>
      <x:c r="Q13" s="7" t="str"/>
      <x:c r="R13" s="8" t="n">
        <x:v>0</x:v>
      </x:c>
      <x:c r="S13" s="8"/>
      <x:c r="T13" s="8" t="n">
        <x:v>0</x:v>
      </x:c>
      <x:c r="U13" s="8" t="n">
        <x:v>0</x:v>
      </x:c>
      <x:c r="V13" s="7" t="str">
        <x:v>mutation</x:v>
      </x:c>
    </x:row>
    <x:row r="14" ht="88" customHeight="1">
      <x:c r="A14" s="7" t="str">
        <x:v>mh4-schedule-zh-03</x:v>
      </x:c>
      <x:c r="B14" s="7" t="str">
        <x:v>schedule</x:v>
      </x:c>
      <x:c r="C14" s="7" t="str">
        <x:v>下周一上午9点半有入职培训，请建日程。</x:v>
      </x:c>
      <x:c r="D14" s="7" t="str">
        <x:v>draft</x:v>
      </x:c>
      <x:c r="E14" s="7" t="str">
        <x:v>schedule</x:v>
      </x:c>
      <x:c r="F14" s="7" t="str">
        <x:v>draft</x:v>
      </x:c>
      <x:c r="G14" s="7" t="str">
        <x:v>schedule</x:v>
      </x:c>
      <x:c r="H14" s="8" t="n">
        <x:v>1</x:v>
      </x:c>
      <x:c r="I14" s="8" t="n">
        <x:v>2</x:v>
      </x:c>
      <x:c r="J14" s="8" t="n">
        <x:v>2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{"status":"draft","module":"schedule","title":{"containsAny":["入职","培训"]},"date":"2026-10-12","time":"09:30"}</x:v>
      </x:c>
      <x:c r="P14" s="7" t="str">
        <x:v>{"status":"draft","reason":null,"module":"schedule","draft":null,"fields":{"id":"079a729a-4a38-4896-817a-44782f6e783c","title":"入职培训","notes":"","date":"2026-10-12","time":"09:30","amount":null,"kind":null,"category":null,"account":null,"timezone":"Asia/Shanghai"}}</x:v>
      </x:c>
      <x:c r="Q14" s="7" t="str">
        <x:v>{"intent":"single_task","module":"schedule","title":"入职培训","notes":"","date_text":"下周一","time_text":"上午9点半"}</x:v>
      </x:c>
      <x:c r="R14" s="8" t="n">
        <x:v>1</x:v>
      </x:c>
      <x:c r="S14" s="8" t="n">
        <x:v>1</x:v>
      </x:c>
      <x:c r="T14" s="8" t="n">
        <x:v>1</x:v>
      </x:c>
      <x:c r="U14" s="8" t="n">
        <x:v>1</x:v>
      </x:c>
      <x:c r="V14" s="7" t="str">
        <x:v>calendar_week</x:v>
      </x:c>
    </x:row>
    <x:row r="15" ht="88" customHeight="1">
      <x:c r="A15" s="7" t="str">
        <x:v>mh4-finance-zh-24</x:v>
      </x:c>
      <x:c r="B15" s="7" t="str">
        <x:v>finance</x:v>
      </x:c>
      <x:c r="C15" s="7" t="str">
        <x:v>今天给宽带续费99元，银行卡支付。</x:v>
      </x:c>
      <x:c r="D15" s="7" t="str">
        <x:v>draft</x:v>
      </x:c>
      <x:c r="E15" s="7" t="str">
        <x:v>finance</x:v>
      </x:c>
      <x:c r="F15" s="7" t="str">
        <x:v>draft</x:v>
      </x:c>
      <x:c r="G15" s="7" t="str">
        <x:v>finance</x:v>
      </x:c>
      <x:c r="H15" s="8" t="n">
        <x:v>1</x:v>
      </x:c>
      <x:c r="I15" s="8" t="n">
        <x:v>5</x:v>
      </x:c>
      <x:c r="J15" s="8" t="n">
        <x:v>6</x:v>
      </x:c>
      <x:c r="K15" s="8" t="n">
        <x:v>0</x:v>
      </x:c>
      <x:c r="L15" s="8" t="n">
        <x:v>1</x:v>
      </x:c>
      <x:c r="M15" s="8" t="n">
        <x:v>0</x:v>
      </x:c>
      <x:c r="N15" s="7" t="str">
        <x:v>category</x:v>
      </x:c>
      <x:c r="O15" s="7" t="str">
        <x:v>{"status":"draft","module":"finance","title":{"containsAny":["宽带"]},"amount":"99","kind":"expense","category":"Bills","account":"Bank Card","date":"2026-10-07"}</x:v>
      </x:c>
      <x:c r="P15" s="7" t="str">
        <x:v>{"status":"draft","reason":null,"module":"finance","draft":null,"fields":{"id":"e2fb6209-f625-422f-85bc-c5b5f9430797","title":"宽带续费","notes":"","date":"2026-10-07","time":null,"amount":"99","kind":"expense","category":"Others","account":"Bank Card","timezone":"Asia/Shanghai"}}</x:v>
      </x:c>
      <x:c r="Q15" s="7" t="str">
        <x:v>{"intent":"single_task","module":"finance","title":"宽带续费","notes":"","date_text":"今天","amount":"99","kind":"expense","category":"Others","account":"Bank Card"}</x:v>
      </x:c>
      <x:c r="R15" s="8" t="n">
        <x:v>1</x:v>
      </x:c>
      <x:c r="S15" s="8" t="n">
        <x:v>1</x:v>
      </x:c>
      <x:c r="T15" s="8" t="n">
        <x:v>1</x:v>
      </x:c>
      <x:c r="U15" s="8" t="n">
        <x:v>1</x:v>
      </x:c>
      <x:c r="V15" s="7" t="str">
        <x:v>timezone_boundary</x:v>
      </x:c>
    </x:row>
    <x:row r="16" ht="88" customHeight="1">
      <x:c r="A16" s="7" t="str">
        <x:v>mh4-memo-zh-05</x:v>
      </x:c>
      <x:c r="B16" s="7" t="str">
        <x:v>memo</x:v>
      </x:c>
      <x:c r="C16" s="7" t="str">
        <x:v>新增备忘：打印筒历。这里“筒历”是我把“简历”打错了。</x:v>
      </x:c>
      <x:c r="D16" s="7" t="str">
        <x:v>draft</x:v>
      </x:c>
      <x:c r="E16" s="7" t="str">
        <x:v>memo</x:v>
      </x:c>
      <x:c r="F16" s="7" t="str">
        <x:v>draft</x:v>
      </x:c>
      <x:c r="G16" s="7" t="str">
        <x:v>memo</x:v>
      </x:c>
      <x:c r="H16" s="8" t="n">
        <x:v>1</x:v>
      </x:c>
      <x:c r="I16" s="8" t="n">
        <x:v>1</x:v>
      </x:c>
      <x:c r="J16" s="8" t="n">
        <x:v>1</x:v>
      </x:c>
      <x:c r="K16" s="8" t="n">
        <x:v>1</x:v>
      </x:c>
      <x:c r="L16" s="8" t="n">
        <x:v>1</x:v>
      </x:c>
      <x:c r="M16" s="8" t="n">
        <x:v>1</x:v>
      </x:c>
      <x:c r="N16" s="7" t="str"/>
      <x:c r="O16" s="7" t="str">
        <x:v>{"status":"draft","module":"memo","title":{"containsAny":["简历","筒历"]},"date":null,"priority":null}</x:v>
      </x:c>
      <x:c r="P16" s="7" t="str">
        <x:v>{"status":"draft","reason":null,"draft":{"id":"201423f3-9f22-4e3a-af22-744d2dbcae80","title":"打印简历","notes":"筒历","dueDate":null,"timezone":"Asia/Shanghai","priority":null,"dateText":null,"warnings":["date_missing","priority_missing"]},"module":"memo","fields":null}</x:v>
      </x:c>
      <x:c r="Q16" s="7" t="str">
        <x:v>{"intent":"single_task","module":"memo","title":"打印简历","notes":"筒历","date_text":"null","priority":"null"}</x:v>
      </x:c>
      <x:c r="R16" s="8" t="n">
        <x:v>1</x:v>
      </x:c>
      <x:c r="S16" s="8" t="n">
        <x:v>1</x:v>
      </x:c>
      <x:c r="T16" s="8" t="n">
        <x:v>1</x:v>
      </x:c>
      <x:c r="U16" s="8" t="n">
        <x:v>1</x:v>
      </x:c>
      <x:c r="V16" s="7" t="str">
        <x:v>typo</x:v>
      </x:c>
    </x:row>
    <x:row r="17" ht="88" customHeight="1">
      <x:c r="A17" s="7" t="str">
        <x:v>mh4-health-zh-07</x:v>
      </x:c>
      <x:c r="B17" s="7" t="str">
        <x:v>health</x:v>
      </x:c>
      <x:c r="C17" s="7" t="str">
        <x:v>去Health，看看我今天的screen time。</x:v>
      </x:c>
      <x:c r="D17" s="7" t="str">
        <x:v>draft</x:v>
      </x:c>
      <x:c r="E17" s="7" t="str">
        <x:v>health</x:v>
      </x:c>
      <x:c r="F17" s="7" t="str">
        <x:v>clarification</x:v>
      </x:c>
      <x:c r="G17" s="7" t="str"/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1</x:v>
      </x:c>
      <x:c r="M17" s="8" t="n">
        <x:v>0</x:v>
      </x:c>
      <x:c r="N17" s="7" t="str">
        <x:v>status, module</x:v>
      </x:c>
      <x:c r="O17" s="7" t="str">
        <x:v>{"status":"draft","module":"health"}</x:v>
      </x:c>
      <x:c r="P17" s="7" t="str">
        <x:v>{"status":"clarification","reason":"health_unsupported","module":null,"draft":null,"fields":null}</x:v>
      </x:c>
      <x:c r="Q17" s="7" t="str">
        <x:v>{"intent":"single_task","module":"health","title":"查看手机使用时长","notes":""}</x:v>
      </x:c>
      <x:c r="R17" s="8" t="n">
        <x:v>1</x:v>
      </x:c>
      <x:c r="S17" s="8" t="n">
        <x:v>1</x:v>
      </x:c>
      <x:c r="T17" s="8" t="n">
        <x:v>0</x:v>
      </x:c>
      <x:c r="U17" s="8" t="n">
        <x:v>0</x:v>
      </x:c>
      <x:c r="V17" s="7" t="str">
        <x:v>mixed_language</x:v>
      </x:c>
    </x:row>
    <x:row r="18" ht="88" customHeight="1">
      <x:c r="A18" s="7" t="str">
        <x:v>mh4-health-zh-16</x:v>
      </x:c>
      <x:c r="B18" s="7" t="str">
        <x:v>health</x:v>
      </x:c>
      <x:c r="C18" s="7" t="str">
        <x:v>今天快结束了，想看下屏幕使用总时长。</x:v>
      </x:c>
      <x:c r="D18" s="7" t="str">
        <x:v>draft</x:v>
      </x:c>
      <x:c r="E18" s="7" t="str">
        <x:v>health</x:v>
      </x:c>
      <x:c r="F18" s="7" t="str">
        <x:v>draft</x:v>
      </x:c>
      <x:c r="G18" s="7" t="str">
        <x:v>health</x:v>
      </x:c>
      <x:c r="H18" s="8" t="n">
        <x:v>1</x:v>
      </x:c>
      <x:c r="I18" s="8" t="n">
        <x:v>0</x:v>
      </x:c>
      <x:c r="J18" s="8" t="n">
        <x:v>0</x:v>
      </x:c>
      <x:c r="K18" s="8" t="n">
        <x:v>1</x:v>
      </x:c>
      <x:c r="L18" s="8" t="n">
        <x:v>1</x:v>
      </x:c>
      <x:c r="M18" s="8" t="n">
        <x:v>1</x:v>
      </x:c>
      <x:c r="N18" s="7" t="str"/>
      <x:c r="O18" s="7" t="str">
        <x:v>{"status":"draft","module":"health"}</x:v>
      </x:c>
      <x:c r="P18" s="7" t="str">
        <x:v>{"status":"draft","reason":null,"module":"health","draft":null,"fields":{"id":"224f064e-f00c-4742-a792-017f984079e3","title":"查看手机使用情况","notes":"","date":"2026-10-06","time":null,"amount":null,"kind":null,"category":null,"account":null,"timezone":"Asia/Shanghai"}}</x:v>
      </x:c>
      <x:c r="Q18" s="7" t="str">
        <x:v>{"intent":"single_task","module":"health","title":"查看手机使用时长","notes":""}</x:v>
      </x:c>
      <x:c r="R18" s="8" t="n">
        <x:v>1</x:v>
      </x:c>
      <x:c r="S18" s="8" t="n">
        <x:v>1</x:v>
      </x:c>
      <x:c r="T18" s="8" t="n">
        <x:v>0</x:v>
      </x:c>
      <x:c r="U18" s="8" t="n">
        <x:v>0</x:v>
      </x:c>
      <x:c r="V18" s="7" t="str">
        <x:v>usage_query</x:v>
      </x:c>
    </x:row>
    <x:row r="19" ht="88" customHeight="1">
      <x:c r="A19" s="7" t="str">
        <x:v>mh4-finance-zh-17</x:v>
      </x:c>
      <x:c r="B19" s="7" t="str">
        <x:v>finance</x:v>
      </x:c>
      <x:c r="C19" s="7" t="str">
        <x:v>今天咖啡花了十四元，现金，金额不确定可以让我补。</x:v>
      </x:c>
      <x:c r="D19" s="7" t="str">
        <x:v>draft</x:v>
      </x:c>
      <x:c r="E19" s="7" t="str">
        <x:v>finance</x:v>
      </x:c>
      <x:c r="F19" s="7" t="str">
        <x:v>draft</x:v>
      </x:c>
      <x:c r="G19" s="7" t="str">
        <x:v>finance</x:v>
      </x:c>
      <x:c r="H19" s="8" t="n">
        <x:v>1</x:v>
      </x:c>
      <x:c r="I19" s="8" t="n">
        <x:v>5</x:v>
      </x:c>
      <x:c r="J19" s="8" t="n">
        <x:v>6</x:v>
      </x:c>
      <x:c r="K19" s="8" t="n">
        <x:v>0</x:v>
      </x:c>
      <x:c r="L19" s="8" t="n">
        <x:v>1</x:v>
      </x:c>
      <x:c r="M19" s="8" t="n">
        <x:v>0</x:v>
      </x:c>
      <x:c r="N19" s="7" t="str">
        <x:v>kind</x:v>
      </x:c>
      <x:c r="O19" s="7" t="str">
        <x:v>{"status":"draft","module":"finance","title":{"containsAny":["咖啡"]},"amount":null,"kind":"expense","category":"Food &amp; Drinks","account":"Cash","date":"2026-10-06"}</x:v>
      </x:c>
      <x:c r="P19" s="7" t="str">
        <x:v>{"status":"draft","reason":null,"module":"finance","draft":null,"fields":{"id":"50f28672-1526-4b0b-abb6-f3a80b9e8919","title":"咖啡","notes":"金额不确定","date":"2026-10-06","time":null,"amount":null,"kind":null,"category":"Food &amp; Drinks","account":"Cash","timezone":"Asia/Shanghai"}}</x:v>
      </x:c>
      <x:c r="Q19" s="7" t="str">
        <x:v>{"intent":"single_task","module":"finance","title":"咖啡","notes":"金额不确定","date_text":"今天","amount":"14","kind":"expense","category":"Food &amp; Drinks","account":"Cash"}</x:v>
      </x:c>
      <x:c r="R19" s="8" t="n">
        <x:v>1</x:v>
      </x:c>
      <x:c r="S19" s="8" t="n">
        <x:v>1</x:v>
      </x:c>
      <x:c r="T19" s="8" t="n">
        <x:v>1</x:v>
      </x:c>
      <x:c r="U19" s="8" t="n">
        <x:v>1</x:v>
      </x:c>
      <x:c r="V19" s="7" t="str">
        <x:v>written_amount</x:v>
      </x:c>
    </x:row>
    <x:row r="20" ht="88" customHeight="1">
      <x:c r="A20" s="7" t="str">
        <x:v>mh4-health-zh-13</x:v>
      </x:c>
      <x:c r="B20" s="7" t="str">
        <x:v>health</x:v>
      </x:c>
      <x:c r="C20" s="7" t="str">
        <x:v>不是查余额，我只要手机今天的使用时长。</x:v>
      </x:c>
      <x:c r="D20" s="7" t="str">
        <x:v>draft</x:v>
      </x:c>
      <x:c r="E20" s="7" t="str">
        <x:v>health</x:v>
      </x:c>
      <x:c r="F20" s="7" t="str">
        <x:v>draft</x:v>
      </x:c>
      <x:c r="G20" s="7" t="str">
        <x:v>health</x:v>
      </x:c>
      <x:c r="H20" s="8" t="n">
        <x:v>1</x:v>
      </x:c>
      <x:c r="I20" s="8" t="n">
        <x:v>0</x:v>
      </x:c>
      <x:c r="J20" s="8" t="n">
        <x:v>0</x:v>
      </x:c>
      <x:c r="K20" s="8" t="n">
        <x:v>1</x:v>
      </x:c>
      <x:c r="L20" s="8" t="n">
        <x:v>1</x:v>
      </x:c>
      <x:c r="M20" s="8" t="n">
        <x:v>1</x:v>
      </x:c>
      <x:c r="N20" s="7" t="str"/>
      <x:c r="O20" s="7" t="str">
        <x:v>{"status":"draft","module":"health"}</x:v>
      </x:c>
      <x:c r="P20" s="7" t="str">
        <x:v>{"status":"draft","reason":null,"module":"health","draft":null,"fields":{"id":"268101e1-96b3-4992-bf9b-bb6e5b0f6033","title":"查看手机使用情况","notes":"","date":"2026-10-06","time":null,"amount":null,"kind":null,"category":null,"account":null,"timezone":"Asia/Shanghai"}}</x:v>
      </x:c>
      <x:c r="Q20" s="7" t="str">
        <x:v>{"intent":"single_task","module":"health","title":"查看手机使用时长","notes":""}</x:v>
      </x:c>
      <x:c r="R20" s="8" t="n">
        <x:v>1</x:v>
      </x:c>
      <x:c r="S20" s="8" t="n">
        <x:v>1</x:v>
      </x:c>
      <x:c r="T20" s="8" t="n">
        <x:v>0</x:v>
      </x:c>
      <x:c r="U20" s="8" t="n">
        <x:v>0</x:v>
      </x:c>
      <x:c r="V20" s="7" t="str">
        <x:v>cross_module</x:v>
      </x:c>
    </x:row>
    <x:row r="21" ht="88" customHeight="1">
      <x:c r="A21" s="7" t="str">
        <x:v>mh4-health-zh-17</x:v>
      </x:c>
      <x:c r="B21" s="7" t="str">
        <x:v>health</x:v>
      </x:c>
      <x:c r="C21" s="7" t="str">
        <x:v>能不能展示这部手机今日的软件用时排名？</x:v>
      </x:c>
      <x:c r="D21" s="7" t="str">
        <x:v>draft</x:v>
      </x:c>
      <x:c r="E21" s="7" t="str">
        <x:v>health</x:v>
      </x:c>
      <x:c r="F21" s="7" t="str">
        <x:v>clarification</x:v>
      </x:c>
      <x:c r="G21" s="7" t="str"/>
      <x:c r="H21" s="8" t="n">
        <x:v>0</x:v>
      </x:c>
      <x:c r="I21" s="8" t="n">
        <x:v>0</x:v>
      </x:c>
      <x:c r="J21" s="8" t="n">
        <x:v>0</x:v>
      </x:c>
      <x:c r="K21" s="8" t="n">
        <x:v>0</x:v>
      </x:c>
      <x:c r="L21" s="8" t="n">
        <x:v>1</x:v>
      </x:c>
      <x:c r="M21" s="8" t="n">
        <x:v>0</x:v>
      </x:c>
      <x:c r="N21" s="7" t="str">
        <x:v>status, module</x:v>
      </x:c>
      <x:c r="O21" s="7" t="str">
        <x:v>{"status":"draft","module":"health"}</x:v>
      </x:c>
      <x:c r="P21" s="7" t="str">
        <x:v>{"status":"clarification","reason":"health_unsupported","module":null,"draft":null,"fields":null}</x:v>
      </x:c>
      <x:c r="Q21" s="7" t="str">
        <x:v>{"intent":"single_task","module":"health","title":"查看手机软件用时排名","notes":""}</x:v>
      </x:c>
      <x:c r="R21" s="8" t="n">
        <x:v>1</x:v>
      </x:c>
      <x:c r="S21" s="8" t="n">
        <x:v>1</x:v>
      </x:c>
      <x:c r="T21" s="8" t="n">
        <x:v>0</x:v>
      </x:c>
      <x:c r="U21" s="8" t="n">
        <x:v>0</x:v>
      </x:c>
      <x:c r="V21" s="7" t="str">
        <x:v>app_breakdown</x:v>
      </x:c>
    </x:row>
    <x:row r="22" ht="88" customHeight="1">
      <x:c r="A22" s="7" t="str">
        <x:v>mh4-health-zh-22</x:v>
      </x:c>
      <x:c r="B22" s="7" t="str">
        <x:v>health</x:v>
      </x:c>
      <x:c r="C22" s="7" t="str">
        <x:v>替我把游戏应用锁定到明天。</x:v>
      </x:c>
      <x:c r="D22" s="7" t="str">
        <x:v>clarification</x:v>
      </x:c>
      <x:c r="E22" s="7" t="str"/>
      <x:c r="F22" s="7" t="str">
        <x:v>draft</x:v>
      </x:c>
      <x:c r="G22" s="7" t="str">
        <x:v>schedule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7" t="str">
        <x:v>status, module</x:v>
      </x:c>
      <x:c r="O22" s="7" t="str">
        <x:v>{"status":"clarification","module":null}</x:v>
      </x:c>
      <x:c r="P22" s="7" t="str">
        <x:v>{"status":"draft","reason":null,"module":"schedule","draft":null,"fields":{"id":"b0513126-295b-487a-ad19-ebbc220c45e7","title":"游戏应用锁定","notes":"明天","date":"2026-10-07","time":null,"amount":null,"kind":null,"category":null,"account":null,"timezone":"Asia/Shanghai"}}</x:v>
      </x:c>
      <x:c r="Q22" s="7" t="str">
        <x:v>{"intent":"single_task","module":"schedule","title":"游戏应用锁定","notes":"明天","time_text":"明天"}</x:v>
      </x:c>
      <x:c r="R22" s="8" t="n">
        <x:v>1</x:v>
      </x:c>
      <x:c r="S22" s="8" t="n">
        <x:v>0</x:v>
      </x:c>
      <x:c r="T22" s="8" t="n">
        <x:v>0</x:v>
      </x:c>
      <x:c r="U22" s="8" t="n">
        <x:v>0</x:v>
      </x:c>
      <x:c r="V22" s="7" t="str">
        <x:v>device_control</x:v>
      </x:c>
    </x:row>
    <x:row r="23" ht="88" customHeight="1">
      <x:c r="A23" s="7" t="str">
        <x:v>mh4-schedule-zh-19</x:v>
      </x:c>
      <x:c r="B23" s="7" t="str">
        <x:v>schedule</x:v>
      </x:c>
      <x:c r="C23" s="7" t="str">
        <x:v>明天00:15接站，建日程。</x:v>
      </x:c>
      <x:c r="D23" s="7" t="str">
        <x:v>draft</x:v>
      </x:c>
      <x:c r="E23" s="7" t="str">
        <x:v>schedule</x:v>
      </x:c>
      <x:c r="F23" s="7" t="str">
        <x:v>draft</x:v>
      </x:c>
      <x:c r="G23" s="7" t="str">
        <x:v>schedule</x:v>
      </x:c>
      <x:c r="H23" s="8" t="n">
        <x:v>1</x:v>
      </x:c>
      <x:c r="I23" s="8" t="n">
        <x:v>2</x:v>
      </x:c>
      <x:c r="J23" s="8" t="n">
        <x:v>2</x:v>
      </x:c>
      <x:c r="K23" s="8" t="n">
        <x:v>1</x:v>
      </x:c>
      <x:c r="L23" s="8" t="n">
        <x:v>1</x:v>
      </x:c>
      <x:c r="M23" s="8" t="n">
        <x:v>1</x:v>
      </x:c>
      <x:c r="N23" s="7" t="str"/>
      <x:c r="O23" s="7" t="str">
        <x:v>{"status":"draft","module":"schedule","title":{"containsAny":["接站"]},"date":"2026-10-07","time":"00:15"}</x:v>
      </x:c>
      <x:c r="P23" s="7" t="str">
        <x:v>{"status":"draft","reason":null,"module":"schedule","draft":null,"fields":{"id":"3e5b74e8-ca87-4875-ab10-0cf9d0e8d314","title":"接站","notes":"00:15","date":"2026-10-07","time":"00:15","amount":null,"kind":null,"category":null,"account":null,"timezone":"Asia/Shanghai"}}</x:v>
      </x:c>
      <x:c r="Q23" s="7" t="str">
        <x:v>{"intent":"single_task","module":"schedule","title":"接站","notes":"00:15","date_text":"明天","time_text":"00:15"}</x:v>
      </x:c>
      <x:c r="R23" s="8" t="n">
        <x:v>1</x:v>
      </x:c>
      <x:c r="S23" s="8" t="n">
        <x:v>1</x:v>
      </x:c>
      <x:c r="T23" s="8" t="n">
        <x:v>1</x:v>
      </x:c>
      <x:c r="U23" s="8" t="n">
        <x:v>1</x:v>
      </x:c>
      <x:c r="V23" s="7" t="str">
        <x:v>midnight</x:v>
      </x:c>
    </x:row>
    <x:row r="24" ht="88" customHeight="1">
      <x:c r="A24" s="7" t="str">
        <x:v>mh4-health-zh-24</x:v>
      </x:c>
      <x:c r="B24" s="7" t="str">
        <x:v>health</x:v>
      </x:c>
      <x:c r="C24" s="7" t="str">
        <x:v>直接告诉我昨天手机总共用了几小时。</x:v>
      </x:c>
      <x:c r="D24" s="7" t="str">
        <x:v>clarification</x:v>
      </x:c>
      <x:c r="E24" s="7" t="str"/>
      <x:c r="F24" s="7" t="str">
        <x:v>clarification</x:v>
      </x:c>
      <x:c r="G24" s="7" t="str"/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0</x:v>
      </x:c>
      <x:c r="M24" s="8" t="n">
        <x:v>0</x:v>
      </x:c>
      <x:c r="N24" s="7" t="str"/>
      <x:c r="O24" s="7" t="str">
        <x:v>{"status":"clarification","module":null}</x:v>
      </x:c>
      <x:c r="P24" s="7" t="str">
        <x:v>{"status":"clarification","reason":"health_today_only","module":null,"draft":null,"fields":null}</x:v>
      </x:c>
      <x:c r="Q24" s="7" t="str">
        <x:v>{"intent":"single_task","module":"health","title":"查看手机使用时长","notes":""}</x:v>
      </x:c>
      <x:c r="R24" s="8" t="n">
        <x:v>1</x:v>
      </x:c>
      <x:c r="S24" s="8" t="n">
        <x:v>0</x:v>
      </x:c>
      <x:c r="T24" s="8" t="n">
        <x:v>0</x:v>
      </x:c>
      <x:c r="U24" s="8" t="n">
        <x:v>0</x:v>
      </x:c>
      <x:c r="V24" s="7" t="str">
        <x:v>historical_usage</x:v>
      </x:c>
    </x:row>
    <x:row r="25" ht="88" customHeight="1">
      <x:c r="A25" s="7" t="str">
        <x:v>mh4-finance-zh-12</x:v>
      </x:c>
      <x:c r="B25" s="7" t="str">
        <x:v>finance</x:v>
      </x:c>
      <x:c r="C25" s="7" t="str">
        <x:v>今天午饭付了32元，哪个账户付的不记得。</x:v>
      </x:c>
      <x:c r="D25" s="7" t="str">
        <x:v>draft</x:v>
      </x:c>
      <x:c r="E25" s="7" t="str">
        <x:v>finance</x:v>
      </x:c>
      <x:c r="F25" s="7" t="str">
        <x:v>draft</x:v>
      </x:c>
      <x:c r="G25" s="7" t="str">
        <x:v>finance</x:v>
      </x:c>
      <x:c r="H25" s="8" t="n">
        <x:v>1</x:v>
      </x:c>
      <x:c r="I25" s="8" t="n">
        <x:v>6</x:v>
      </x:c>
      <x:c r="J25" s="8" t="n">
        <x:v>6</x:v>
      </x:c>
      <x:c r="K25" s="8" t="n">
        <x:v>1</x:v>
      </x:c>
      <x:c r="L25" s="8" t="n">
        <x:v>1</x:v>
      </x:c>
      <x:c r="M25" s="8" t="n">
        <x:v>1</x:v>
      </x:c>
      <x:c r="N25" s="7" t="str"/>
      <x:c r="O25" s="7" t="str">
        <x:v>{"status":"draft","module":"finance","title":{"containsAny":["午饭"]},"amount":"32","kind":"expense","category":"Food &amp; Drinks","account":null,"date":"2026-10-06"}</x:v>
      </x:c>
      <x:c r="P25" s="7" t="str">
        <x:v>{"status":"draft","reason":null,"module":"finance","draft":null,"fields":{"id":"5b652b5f-bf6b-4022-a83d-5ef1438b76ef","title":"午饭","notes":"","date":"2026-10-06","time":null,"amount":"32","kind":"expense","category":"Food &amp; Drinks","account":null,"timezone":"Asia/Shanghai"}}</x:v>
      </x:c>
      <x:c r="Q25" s="7" t="str">
        <x:v>{"intent":"single_task","module":"finance","title":"午饭","notes":"","date_text":"今天","amount":"32","kind":"expense","category":"Food &amp; Drinks","account":null}</x:v>
      </x:c>
      <x:c r="R25" s="8" t="n">
        <x:v>1</x:v>
      </x:c>
      <x:c r="S25" s="8" t="n">
        <x:v>1</x:v>
      </x:c>
      <x:c r="T25" s="8" t="n">
        <x:v>1</x:v>
      </x:c>
      <x:c r="U25" s="8" t="n">
        <x:v>1</x:v>
      </x:c>
      <x:c r="V25" s="7" t="str">
        <x:v>missing_account</x:v>
      </x:c>
    </x:row>
    <x:row r="26" ht="88" customHeight="1">
      <x:c r="A26" s="7" t="str">
        <x:v>mh4-health-zh-09</x:v>
      </x:c>
      <x:c r="B26" s="7" t="str">
        <x:v>health</x:v>
      </x:c>
      <x:c r="C26" s="7" t="str">
        <x:v>📲打开本机的屏幕时间统计页。</x:v>
      </x:c>
      <x:c r="D26" s="7" t="str">
        <x:v>draft</x:v>
      </x:c>
      <x:c r="E26" s="7" t="str">
        <x:v>health</x:v>
      </x:c>
      <x:c r="F26" s="7" t="str">
        <x:v>draft</x:v>
      </x:c>
      <x:c r="G26" s="7" t="str">
        <x:v>health</x:v>
      </x:c>
      <x:c r="H26" s="8" t="n">
        <x:v>1</x:v>
      </x:c>
      <x:c r="I26" s="8" t="n">
        <x:v>0</x:v>
      </x:c>
      <x:c r="J26" s="8" t="n">
        <x:v>0</x:v>
      </x:c>
      <x:c r="K26" s="8" t="n">
        <x:v>1</x:v>
      </x:c>
      <x:c r="L26" s="8" t="n">
        <x:v>1</x:v>
      </x:c>
      <x:c r="M26" s="8" t="n">
        <x:v>1</x:v>
      </x:c>
      <x:c r="N26" s="7" t="str"/>
      <x:c r="O26" s="7" t="str">
        <x:v>{"status":"draft","module":"health"}</x:v>
      </x:c>
      <x:c r="P26" s="7" t="str">
        <x:v>{"status":"draft","reason":null,"module":"health","draft":null,"fields":{"id":"ea6f7f9e-74a1-4532-80da-591ae13c1448","title":"查看手机使用情况","notes":"","date":null,"time":null,"amount":null,"kind":null,"category":null,"account":null,"timezone":"Asia/Shanghai"}}</x:v>
      </x:c>
      <x:c r="Q26" s="7" t="str">
        <x:v>{"intent":"single_task","module":"health","title":"查看手机使用时长","notes":""}</x:v>
      </x:c>
      <x:c r="R26" s="8" t="n">
        <x:v>1</x:v>
      </x:c>
      <x:c r="S26" s="8" t="n">
        <x:v>1</x:v>
      </x:c>
      <x:c r="T26" s="8" t="n">
        <x:v>0</x:v>
      </x:c>
      <x:c r="U26" s="8" t="n">
        <x:v>0</x:v>
      </x:c>
      <x:c r="V26" s="7" t="str">
        <x:v>unicode</x:v>
      </x:c>
    </x:row>
    <x:row r="27" ht="88" customHeight="1">
      <x:c r="A27" s="7" t="str">
        <x:v>mh4-schedule-zh-23</x:v>
      </x:c>
      <x:c r="B27" s="7" t="str">
        <x:v>schedule</x:v>
      </x:c>
      <x:c r="C27" s="7" t="str">
        <x:v>安排2028-02-29上午8点的年度设备检查。</x:v>
      </x:c>
      <x:c r="D27" s="7" t="str">
        <x:v>draft</x:v>
      </x:c>
      <x:c r="E27" s="7" t="str">
        <x:v>schedule</x:v>
      </x:c>
      <x:c r="F27" s="7" t="str">
        <x:v>draft</x:v>
      </x:c>
      <x:c r="G27" s="7" t="str">
        <x:v>schedule</x:v>
      </x:c>
      <x:c r="H27" s="8" t="n">
        <x:v>1</x:v>
      </x:c>
      <x:c r="I27" s="8" t="n">
        <x:v>2</x:v>
      </x:c>
      <x:c r="J27" s="8" t="n">
        <x:v>2</x:v>
      </x:c>
      <x:c r="K27" s="8" t="n">
        <x:v>1</x:v>
      </x:c>
      <x:c r="L27" s="8" t="n">
        <x:v>1</x:v>
      </x:c>
      <x:c r="M27" s="8" t="n">
        <x:v>1</x:v>
      </x:c>
      <x:c r="N27" s="7" t="str"/>
      <x:c r="O27" s="7" t="str">
        <x:v>{"status":"draft","module":"schedule","title":{"containsAny":["设备"]},"date":"2028-02-29","time":"08:00"}</x:v>
      </x:c>
      <x:c r="P27" s="7" t="str">
        <x:v>{"status":"draft","reason":null,"module":"schedule","draft":null,"fields":{"id":"eb549c42-c032-4690-9687-76e67c925661","title":"年度设备检查","notes":"","date":"2028-02-29","time":"08:00","amount":null,"kind":null,"category":null,"account":null,"timezone":"Asia/Shanghai"}}</x:v>
      </x:c>
      <x:c r="Q27" s="7" t="str">
        <x:v>{"intent":"single_task","module":"schedule","title":"年度设备检查","notes":"","date_text":"2028-02-29","time_text":"上午8点"}</x:v>
      </x:c>
      <x:c r="R27" s="8" t="n">
        <x:v>1</x:v>
      </x:c>
      <x:c r="S27" s="8" t="n">
        <x:v>1</x:v>
      </x:c>
      <x:c r="T27" s="8" t="n">
        <x:v>1</x:v>
      </x:c>
      <x:c r="U27" s="8" t="n">
        <x:v>1</x:v>
      </x:c>
      <x:c r="V27" s="7" t="str">
        <x:v>leap_day</x:v>
      </x:c>
    </x:row>
    <x:row r="28" ht="88" customHeight="1">
      <x:c r="A28" s="7" t="str">
        <x:v>mh4-health-zh-18</x:v>
      </x:c>
      <x:c r="B28" s="7" t="str">
        <x:v>health</x:v>
      </x:c>
      <x:c r="C28" s="7" t="str">
        <x:v>进入已有的Health界面，不要新增任何记录。</x:v>
      </x:c>
      <x:c r="D28" s="7" t="str">
        <x:v>draft</x:v>
      </x:c>
      <x:c r="E28" s="7" t="str">
        <x:v>health</x:v>
      </x:c>
      <x:c r="F28" s="7" t="str">
        <x:v>clarification</x:v>
      </x:c>
      <x:c r="G28" s="7" t="str"/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8" t="n">
        <x:v>1</x:v>
      </x:c>
      <x:c r="M28" s="8" t="n">
        <x:v>0</x:v>
      </x:c>
      <x:c r="N28" s="7" t="str">
        <x:v>status, module</x:v>
      </x:c>
      <x:c r="O28" s="7" t="str">
        <x:v>{"status":"draft","module":"health"}</x:v>
      </x:c>
      <x:c r="P28" s="7" t="str">
        <x:v>{"status":"clarification","reason":"health_unsupported","module":null,"draft":null,"fields":null}</x:v>
      </x:c>
      <x:c r="Q28" s="7" t="str">
        <x:v>{"intent":"single_task","module":"health","title":"查看手机使用时长","notes":""}</x:v>
      </x:c>
      <x:c r="R28" s="8" t="n">
        <x:v>1</x:v>
      </x:c>
      <x:c r="S28" s="8" t="n">
        <x:v>1</x:v>
      </x:c>
      <x:c r="T28" s="8" t="n">
        <x:v>0</x:v>
      </x:c>
      <x:c r="U28" s="8" t="n">
        <x:v>0</x:v>
      </x:c>
      <x:c r="V28" s="7" t="str">
        <x:v>open_page</x:v>
      </x:c>
    </x:row>
    <x:row r="29" ht="88" customHeight="1">
      <x:c r="A29" s="7" t="str">
        <x:v>mh4-finance-zh-26</x:v>
      </x:c>
      <x:c r="B29" s="7" t="str">
        <x:v>finance</x:v>
      </x:c>
      <x:c r="C29" s="7" t="str">
        <x:v>找出我银行卡现在的余额。</x:v>
      </x:c>
      <x:c r="D29" s="7" t="str">
        <x:v>clarification</x:v>
      </x:c>
      <x:c r="E29" s="7" t="str"/>
      <x:c r="F29" s="7" t="str">
        <x:v>clarification</x:v>
      </x:c>
      <x:c r="G29" s="7" t="str"/>
      <x:c r="H29" s="8" t="n">
        <x:v>1</x:v>
      </x:c>
      <x:c r="I29" s="8" t="n">
        <x:v>0</x:v>
      </x:c>
      <x:c r="J29" s="8" t="n">
        <x:v>0</x:v>
      </x:c>
      <x:c r="K29" s="8" t="n">
        <x:v>1</x:v>
      </x:c>
      <x:c r="L29" s="8" t="n">
        <x:v>0</x:v>
      </x:c>
      <x:c r="M29" s="8" t="n">
        <x:v>0</x:v>
      </x:c>
      <x:c r="N29" s="7" t="str"/>
      <x:c r="O29" s="7" t="str">
        <x:v>{"status":"clarification","module":null}</x:v>
      </x:c>
      <x:c r="P29" s="7" t="str">
        <x:v>{"status":"clarification","reason":"unsupported_action","module":null,"draft":null,"fields":null}</x:v>
      </x:c>
      <x:c r="Q29" s="7" t="str"/>
      <x:c r="R29" s="8" t="n">
        <x:v>0</x:v>
      </x:c>
      <x:c r="S29" s="8"/>
      <x:c r="T29" s="8" t="n">
        <x:v>0</x:v>
      </x:c>
      <x:c r="U29" s="8" t="n">
        <x:v>0</x:v>
      </x:c>
      <x:c r="V29" s="7" t="str">
        <x:v>unsupported_query</x:v>
      </x:c>
    </x:row>
    <x:row r="30" ht="88" customHeight="1">
      <x:c r="A30" s="7" t="str">
        <x:v>mh4-finance-zh-08</x:v>
      </x:c>
      <x:c r="B30" s="7" t="str">
        <x:v>finance</x:v>
      </x:c>
      <x:c r="C30" s="7" t="str">
        <x:v>今天生日礼物收到现金300元，收入分类礼物。</x:v>
      </x:c>
      <x:c r="D30" s="7" t="str">
        <x:v>draft</x:v>
      </x:c>
      <x:c r="E30" s="7" t="str">
        <x:v>finance</x:v>
      </x:c>
      <x:c r="F30" s="7" t="str">
        <x:v>draft</x:v>
      </x:c>
      <x:c r="G30" s="7" t="str">
        <x:v>finance</x:v>
      </x:c>
      <x:c r="H30" s="8" t="n">
        <x:v>1</x:v>
      </x:c>
      <x:c r="I30" s="8" t="n">
        <x:v>6</x:v>
      </x:c>
      <x:c r="J30" s="8" t="n">
        <x:v>6</x:v>
      </x:c>
      <x:c r="K30" s="8" t="n">
        <x:v>1</x:v>
      </x:c>
      <x:c r="L30" s="8" t="n">
        <x:v>1</x:v>
      </x:c>
      <x:c r="M30" s="8" t="n">
        <x:v>1</x:v>
      </x:c>
      <x:c r="N30" s="7" t="str"/>
      <x:c r="O30" s="7" t="str">
        <x:v>{"status":"draft","module":"finance","title":{"containsAny":["礼物","生日"]},"amount":"300","kind":"income","category":"Gift","account":"Cash","date":"2026-10-06"}</x:v>
      </x:c>
      <x:c r="P30" s="7" t="str">
        <x:v>{"status":"draft","reason":null,"module":"finance","draft":null,"fields":{"id":"b6ed0a58-1aaa-44a8-b857-eea84e3334d1","title":"生日礼物","notes":"","date":"2026-10-06","time":null,"amount":"300","kind":"income","category":"Gift","account":"Cash","timezone":"Asia/Shanghai"}}</x:v>
      </x:c>
      <x:c r="Q30" s="7" t="str">
        <x:v>{"intent":"single_task","module":"finance","title":"生日礼物","notes":"","date_text":"今天","amount":"300","kind":"income","category":"Gift","account":"Cash"}</x:v>
      </x:c>
      <x:c r="R30" s="8" t="n">
        <x:v>1</x:v>
      </x:c>
      <x:c r="S30" s="8" t="n">
        <x:v>1</x:v>
      </x:c>
      <x:c r="T30" s="8" t="n">
        <x:v>1</x:v>
      </x:c>
      <x:c r="U30" s="8" t="n">
        <x:v>1</x:v>
      </x:c>
      <x:c r="V30" s="7" t="str">
        <x:v>complete</x:v>
      </x:c>
    </x:row>
    <x:row r="31" ht="88" customHeight="1">
      <x:c r="A31" s="7" t="str">
        <x:v>mh4-health-zh-06</x:v>
      </x:c>
      <x:c r="B31" s="7" t="str">
        <x:v>health</x:v>
      </x:c>
      <x:c r="C31" s="7" t="str">
        <x:v>帮我看一下当前手机的软件使用记录。</x:v>
      </x:c>
      <x:c r="D31" s="7" t="str">
        <x:v>draft</x:v>
      </x:c>
      <x:c r="E31" s="7" t="str">
        <x:v>health</x:v>
      </x:c>
      <x:c r="F31" s="7" t="str">
        <x:v>draft</x:v>
      </x:c>
      <x:c r="G31" s="7" t="str">
        <x:v>health</x:v>
      </x:c>
      <x:c r="H31" s="8" t="n">
        <x:v>1</x:v>
      </x:c>
      <x:c r="I31" s="8" t="n">
        <x:v>0</x:v>
      </x:c>
      <x:c r="J31" s="8" t="n">
        <x:v>0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{"status":"draft","module":"health"}</x:v>
      </x:c>
      <x:c r="P31" s="7" t="str">
        <x:v>{"status":"draft","reason":null,"module":"health","draft":null,"fields":{"id":"0d95ea66-216d-41c8-a33e-f9a366ac62f2","title":"查看手机使用情况","notes":"","date":null,"time":null,"amount":null,"kind":null,"category":null,"account":null,"timezone":"Asia/Shanghai"}}</x:v>
      </x:c>
      <x:c r="Q31" s="7" t="str">
        <x:v>{"intent":"single_task","module":"health","title":"查看手机使用记录","notes":""}</x:v>
      </x:c>
      <x:c r="R31" s="8" t="n">
        <x:v>1</x:v>
      </x:c>
      <x:c r="S31" s="8" t="n">
        <x:v>1</x:v>
      </x:c>
      <x:c r="T31" s="8" t="n">
        <x:v>0</x:v>
      </x:c>
      <x:c r="U31" s="8" t="n">
        <x:v>0</x:v>
      </x:c>
      <x:c r="V31" s="7" t="str">
        <x:v>usage_query</x:v>
      </x:c>
    </x:row>
    <x:row r="32" ht="88" customHeight="1">
      <x:c r="A32" s="7" t="str">
        <x:v>mh4-health-zh-04</x:v>
      </x:c>
      <x:c r="B32" s="7" t="str">
        <x:v>health</x:v>
      </x:c>
      <x:c r="C32" s="7" t="str">
        <x:v>不要提醒我少玩手机，只展示今天的使用统计。</x:v>
      </x:c>
      <x:c r="D32" s="7" t="str">
        <x:v>draft</x:v>
      </x:c>
      <x:c r="E32" s="7" t="str">
        <x:v>health</x:v>
      </x:c>
      <x:c r="F32" s="7" t="str">
        <x:v>draft</x:v>
      </x:c>
      <x:c r="G32" s="7" t="str">
        <x:v>health</x:v>
      </x:c>
      <x:c r="H32" s="8" t="n">
        <x:v>1</x:v>
      </x:c>
      <x:c r="I32" s="8" t="n">
        <x:v>0</x:v>
      </x:c>
      <x:c r="J32" s="8" t="n">
        <x:v>0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{"status":"draft","module":"health"}</x:v>
      </x:c>
      <x:c r="P32" s="7" t="str">
        <x:v>{"status":"draft","reason":null,"module":"health","draft":null,"fields":{"id":"535c6e99-f46d-4a1c-a742-7b54f6b6d6f1","title":"查看手机使用情况","notes":"","date":"2026-10-06","time":null,"amount":null,"kind":null,"category":null,"account":null,"timezone":"Asia/Shanghai"}}</x:v>
      </x:c>
      <x:c r="Q32" s="7" t="str">
        <x:v>{"intent":"single_task","module":"health","title":"查看手机使用时长","notes":""}</x:v>
      </x:c>
      <x:c r="R32" s="8" t="n">
        <x:v>1</x:v>
      </x:c>
      <x:c r="S32" s="8" t="n">
        <x:v>1</x:v>
      </x:c>
      <x:c r="T32" s="8" t="n">
        <x:v>0</x:v>
      </x:c>
      <x:c r="U32" s="8" t="n">
        <x:v>0</x:v>
      </x:c>
      <x:c r="V32" s="7" t="str">
        <x:v>negation</x:v>
      </x:c>
    </x:row>
    <x:row r="33" ht="90" customHeight="1">
      <x:c r="A33" s="7" t="str">
        <x:v>mh4-schedule-zh-12</x:v>
      </x:c>
      <x:c r="B33" s="7" t="str">
        <x:v>schedule</x:v>
      </x:c>
      <x:c r="C33" s="7" t="str">
        <x:v>不是设待办，请直接做日程草稿：周六早上八点半骑行集合。</x:v>
      </x:c>
      <x:c r="D33" s="7" t="str">
        <x:v>draft</x:v>
      </x:c>
      <x:c r="E33" s="7" t="str">
        <x:v>schedule</x:v>
      </x:c>
      <x:c r="F33" s="7" t="str">
        <x:v>draft</x:v>
      </x:c>
      <x:c r="G33" s="7" t="str">
        <x:v>memo</x:v>
      </x:c>
      <x:c r="H33" s="8" t="n">
        <x:v>0</x:v>
      </x:c>
      <x:c r="I33" s="8" t="n">
        <x:v>1</x:v>
      </x:c>
      <x:c r="J33" s="8" t="n">
        <x:v>2</x:v>
      </x:c>
      <x:c r="K33" s="8" t="n">
        <x:v>0</x:v>
      </x:c>
      <x:c r="L33" s="8" t="n">
        <x:v>1</x:v>
      </x:c>
      <x:c r="M33" s="8" t="n">
        <x:v>0</x:v>
      </x:c>
      <x:c r="N33" s="7" t="str">
        <x:v>module, date, time</x:v>
      </x:c>
      <x:c r="O33" s="7" t="str">
        <x:v>{"status":"draft","module":"schedule","title":{"containsAny":["骑行"]},"date":"2026-10-10","time":"08:30"}</x:v>
      </x:c>
      <x:c r="P33" s="7" t="str">
        <x:v>{"status":"draft","reason":null,"draft":{"id":"936669ef-f6a2-4813-a981-fc02806bb905","title":"不是设待办，请直接做日程草稿：周六早上八点半骑行集合","notes":"","dueDate":null,"timezone":"Asia/Shanghai","priority":null,"dateText":"周六","warnings":["date_needs_review","priority_missing"]},"module":"memo","fields":null}</x:v>
      </x:c>
      <x:c r="Q33" s="7" t="str">
        <x:v>{"intent":"single_task","module":"schedule","title":"骑行集合","notes":"","date_text":"周六","time_text":"早上八点半"}</x:v>
      </x:c>
      <x:c r="R33" s="8" t="n">
        <x:v>1</x:v>
      </x:c>
      <x:c r="S33" s="8" t="n">
        <x:v>1</x:v>
      </x:c>
      <x:c r="T33" s="8" t="n">
        <x:v>1</x:v>
      </x:c>
      <x:c r="U33" s="8" t="n">
        <x:v>0</x:v>
      </x:c>
      <x:c r="V33" s="7" t="str">
        <x:v>negation</x:v>
      </x:c>
    </x:row>
    <x:row r="34" ht="90" customHeight="1">
      <x:c r="A34" s="7" t="str">
        <x:v>mh4-memo-zh-23</x:v>
      </x:c>
      <x:c r="B34" s="7" t="str">
        <x:v>memo</x:v>
      </x:c>
      <x:c r="C34" s="7" t="str">
        <x:v>周四上午去补牙，这件事只放在我选择的模块。</x:v>
      </x:c>
      <x:c r="D34" s="7" t="str">
        <x:v>draft</x:v>
      </x:c>
      <x:c r="E34" s="7" t="str">
        <x:v>memo</x:v>
      </x:c>
      <x:c r="F34" s="7" t="str">
        <x:v>draft</x:v>
      </x:c>
      <x:c r="G34" s="7" t="str">
        <x:v>memo</x:v>
      </x:c>
      <x:c r="H34" s="8" t="n">
        <x:v>1</x:v>
      </x:c>
      <x:c r="I34" s="8" t="n">
        <x:v>1</x:v>
      </x:c>
      <x:c r="J34" s="8" t="n">
        <x:v>1</x:v>
      </x:c>
      <x:c r="K34" s="8" t="n">
        <x:v>0</x:v>
      </x:c>
      <x:c r="L34" s="8" t="n">
        <x:v>1</x:v>
      </x:c>
      <x:c r="M34" s="8" t="n">
        <x:v>0</x:v>
      </x:c>
      <x:c r="N34" s="7" t="str">
        <x:v>date</x:v>
      </x:c>
      <x:c r="O34" s="7" t="str">
        <x:v>{"status":"draft","module":"memo","title":{"containsAny":["补牙"]},"date":"2026-10-08","priority":null}</x:v>
      </x:c>
      <x:c r="P34" s="7" t="str">
        <x:v>{"status":"draft","reason":null,"draft":{"id":"cb451f6a-6c21-4023-8e25-0e9baba43424","title":"周四上午去补牙，这件事只放在我选择的模块","notes":"","dueDate":null,"timezone":"Asia/Shanghai","priority":null,"dateText":"周四","warnings":["date_needs_review","priority_missing"]},"module":"memo","fields":null}</x:v>
      </x:c>
      <x:c r="Q34" s="7" t="str">
        <x:v>{"intent":"single_task","module":"schedule","title":"补牙","notes":"","date_text":"周四","time_text":"上午"}</x:v>
      </x:c>
      <x:c r="R34" s="8" t="n">
        <x:v>1</x:v>
      </x:c>
      <x:c r="S34" s="8" t="n">
        <x:v>0</x:v>
      </x:c>
      <x:c r="T34" s="8" t="n">
        <x:v>1</x:v>
      </x:c>
      <x:c r="U34" s="8" t="n">
        <x:v>0</x:v>
      </x:c>
      <x:c r="V34" s="7" t="str">
        <x:v>module_override</x:v>
      </x:c>
    </x:row>
    <x:row r="35" ht="88" customHeight="1">
      <x:c r="A35" s="7" t="str">
        <x:v>mh4-health-zh-23</x:v>
      </x:c>
      <x:c r="B35" s="7" t="str">
        <x:v>health</x:v>
      </x:c>
      <x:c r="C35" s="7" t="str">
        <x:v>查询我同学今天的微信使用时长。</x:v>
      </x:c>
      <x:c r="D35" s="7" t="str">
        <x:v>clarification</x:v>
      </x:c>
      <x:c r="E35" s="7" t="str"/>
      <x:c r="F35" s="7" t="str">
        <x:v>draft</x:v>
      </x:c>
      <x:c r="G35" s="7" t="str">
        <x:v>health</x:v>
      </x:c>
      <x:c r="H35" s="8" t="n">
        <x:v>0</x:v>
      </x:c>
      <x:c r="I35" s="8" t="n">
        <x:v>0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7" t="str">
        <x:v>status, module</x:v>
      </x:c>
      <x:c r="O35" s="7" t="str">
        <x:v>{"status":"clarification","module":null}</x:v>
      </x:c>
      <x:c r="P35" s="7" t="str">
        <x:v>{"status":"draft","reason":null,"module":"health","draft":null,"fields":{"id":"06385e7e-6cbb-427d-bfc2-948fa475508f","title":"查看手机使用情况","notes":"","date":"2026-10-06","time":null,"amount":null,"kind":null,"category":null,"account":null,"timezone":"Asia/Shanghai"}}</x:v>
      </x:c>
      <x:c r="Q35" s="7" t="str">
        <x:v>{"intent":"single_task","module":"health","title":"查看微信使用时长","notes":""}</x:v>
      </x:c>
      <x:c r="R35" s="8" t="n">
        <x:v>1</x:v>
      </x:c>
      <x:c r="S35" s="8" t="n">
        <x:v>0</x:v>
      </x:c>
      <x:c r="T35" s="8" t="n">
        <x:v>0</x:v>
      </x:c>
      <x:c r="U35" s="8" t="n">
        <x:v>0</x:v>
      </x:c>
      <x:c r="V35" s="7" t="str">
        <x:v>other_person</x:v>
      </x:c>
    </x:row>
    <x:row r="36" ht="90" customHeight="1">
      <x:c r="A36" s="7" t="str">
        <x:v>mh4-finance-zh-13</x:v>
      </x:c>
      <x:c r="B36" s="7" t="str">
        <x:v>finance</x:v>
      </x:c>
      <x:c r="C36" s="7" t="str">
        <x:v>今天花了20元现金，买的啥记不清，分类先不选。</x:v>
      </x:c>
      <x:c r="D36" s="7" t="str">
        <x:v>draft</x:v>
      </x:c>
      <x:c r="E36" s="7" t="str">
        <x:v>finance</x:v>
      </x:c>
      <x:c r="F36" s="7" t="str">
        <x:v>draft</x:v>
      </x:c>
      <x:c r="G36" s="7" t="str">
        <x:v>finance</x:v>
      </x:c>
      <x:c r="H36" s="8" t="n">
        <x:v>1</x:v>
      </x:c>
      <x:c r="I36" s="8" t="n">
        <x:v>5</x:v>
      </x:c>
      <x:c r="J36" s="8" t="n">
        <x:v>6</x:v>
      </x:c>
      <x:c r="K36" s="8" t="n">
        <x:v>0</x:v>
      </x:c>
      <x:c r="L36" s="8" t="n">
        <x:v>1</x:v>
      </x:c>
      <x:c r="M36" s="8" t="n">
        <x:v>0</x:v>
      </x:c>
      <x:c r="N36" s="7" t="str">
        <x:v>category</x:v>
      </x:c>
      <x:c r="O36" s="7" t="str">
        <x:v>{"status":"draft","module":"finance","title":{"containsAny":["支出","消费","现金","20"]},"amount":"20","kind":"expense","category":null,"account":"Cash","date":"2026-10-06"}</x:v>
      </x:c>
      <x:c r="P36" s="7" t="str">
        <x:v>{"status":"draft","reason":null,"module":"finance","draft":null,"fields":{"id":"474efedc-b749-4975-955d-233b5eb80757","title":"今天花了20元现金，买的啥记不清，分类先不选。","notes":"","date":"2026-10-06","time":null,"amount":"20","kind":"expense","category":"Others","account":"Cash","timezone":"Asia/Shanghai"}}</x:v>
      </x:c>
      <x:c r="Q36" s="7" t="str">
        <x:v>{"intent":"single_task","module":"finance","title":"购物","notes":"","date_text":"今天","amount":"20","kind":"expense","category":"Others","account":"Cash"}</x:v>
      </x:c>
      <x:c r="R36" s="8" t="n">
        <x:v>1</x:v>
      </x:c>
      <x:c r="S36" s="8" t="n">
        <x:v>1</x:v>
      </x:c>
      <x:c r="T36" s="8" t="n">
        <x:v>1</x:v>
      </x:c>
      <x:c r="U36" s="8" t="n">
        <x:v>1</x:v>
      </x:c>
      <x:c r="V36" s="7" t="str">
        <x:v>missing_category</x:v>
      </x:c>
    </x:row>
    <x:row r="37" ht="88" customHeight="1">
      <x:c r="A37" s="7" t="str">
        <x:v>mh4-memo-zh-20</x:v>
      </x:c>
      <x:c r="B37" s="7" t="str">
        <x:v>memo</x:v>
      </x:c>
      <x:c r="C37" s="7" t="str">
        <x:v>新增待办，明天把花盆挪进屋里。</x:v>
      </x:c>
      <x:c r="D37" s="7" t="str">
        <x:v>draft</x:v>
      </x:c>
      <x:c r="E37" s="7" t="str">
        <x:v>memo</x:v>
      </x:c>
      <x:c r="F37" s="7" t="str">
        <x:v>draft</x:v>
      </x:c>
      <x:c r="G37" s="7" t="str">
        <x:v>memo</x:v>
      </x:c>
      <x:c r="H37" s="8" t="n">
        <x:v>1</x:v>
      </x:c>
      <x:c r="I37" s="8" t="n">
        <x:v>1</x:v>
      </x:c>
      <x:c r="J37" s="8" t="n">
        <x:v>1</x:v>
      </x:c>
      <x:c r="K37" s="8" t="n">
        <x:v>1</x:v>
      </x:c>
      <x:c r="L37" s="8" t="n">
        <x:v>1</x:v>
      </x:c>
      <x:c r="M37" s="8" t="n">
        <x:v>1</x:v>
      </x:c>
      <x:c r="N37" s="7" t="str"/>
      <x:c r="O37" s="7" t="str">
        <x:v>{"status":"draft","module":"memo","title":{"containsAny":["花盆"]},"date":"2027-04-01","priority":null}</x:v>
      </x:c>
      <x:c r="P37" s="7" t="str">
        <x:v>{"status":"draft","reason":null,"draft":{"id":"b257da1e-0109-4762-8e89-7ba33a309332","title":"新增待办，明天把花盆挪进屋里","notes":"明天","dueDate":"2027-04-01","timezone":"Asia/Shanghai","priority":null,"dateText":"明天","warnings":["priority_missing"]},"module":"memo","fields":null}</x:v>
      </x:c>
      <x:c r="Q37" s="7" t="str">
        <x:v>{"intent":"single_task","module":"schedule","title":"把花盆挪进屋里","notes":"明天","date_text":"明天"}</x:v>
      </x:c>
      <x:c r="R37" s="8" t="n">
        <x:v>1</x:v>
      </x:c>
      <x:c r="S37" s="8" t="n">
        <x:v>0</x:v>
      </x:c>
      <x:c r="T37" s="8" t="n">
        <x:v>1</x:v>
      </x:c>
      <x:c r="U37" s="8" t="n">
        <x:v>1</x:v>
      </x:c>
      <x:c r="V37" s="7" t="str">
        <x:v>month_boundary</x:v>
      </x:c>
    </x:row>
    <x:row r="38" ht="88" customHeight="1">
      <x:c r="A38" s="7" t="str">
        <x:v>mh4-finance-zh-04</x:v>
      </x:c>
      <x:c r="B38" s="7" t="str">
        <x:v>finance</x:v>
      </x:c>
      <x:c r="C38" s="7" t="str">
        <x:v>电影票昨天用银行卡付了43.50元。</x:v>
      </x:c>
      <x:c r="D38" s="7" t="str">
        <x:v>draft</x:v>
      </x:c>
      <x:c r="E38" s="7" t="str">
        <x:v>finance</x:v>
      </x:c>
      <x:c r="F38" s="7" t="str">
        <x:v>draft</x:v>
      </x:c>
      <x:c r="G38" s="7" t="str">
        <x:v>finance</x:v>
      </x:c>
      <x:c r="H38" s="8" t="n">
        <x:v>1</x:v>
      </x:c>
      <x:c r="I38" s="8" t="n">
        <x:v>6</x:v>
      </x:c>
      <x:c r="J38" s="8" t="n">
        <x:v>6</x:v>
      </x:c>
      <x:c r="K38" s="8" t="n">
        <x:v>1</x:v>
      </x:c>
      <x:c r="L38" s="8" t="n">
        <x:v>1</x:v>
      </x:c>
      <x:c r="M38" s="8" t="n">
        <x:v>1</x:v>
      </x:c>
      <x:c r="N38" s="7" t="str"/>
      <x:c r="O38" s="7" t="str">
        <x:v>{"status":"draft","module":"finance","title":{"containsAny":["电影"]},"amount":"43.50","kind":"expense","category":"Entertainment","account":"Bank Card","date":"2026-10-05"}</x:v>
      </x:c>
      <x:c r="P38" s="7" t="str">
        <x:v>{"status":"draft","reason":null,"module":"finance","draft":null,"fields":{"id":"00f34444-ed1c-4809-8dd0-d7be4b83408a","title":"电影票","notes":"","date":"2026-10-05","time":null,"amount":"43.50","kind":"expense","category":"Entertainment","account":"Bank Card","timezone":"Asia/Shanghai"}}</x:v>
      </x:c>
      <x:c r="Q38" s="7" t="str">
        <x:v>{"intent":"single_task","module":"finance","title":"电影票","notes":"","date_text":"昨天","amount":"43.50","kind":"expense","category":"Entertainment","account":"Bank Card"}</x:v>
      </x:c>
      <x:c r="R38" s="8" t="n">
        <x:v>1</x:v>
      </x:c>
      <x:c r="S38" s="8" t="n">
        <x:v>1</x:v>
      </x:c>
      <x:c r="T38" s="8" t="n">
        <x:v>1</x:v>
      </x:c>
      <x:c r="U38" s="8" t="n">
        <x:v>1</x:v>
      </x:c>
      <x:c r="V38" s="7" t="str">
        <x:v>complete</x:v>
      </x:c>
    </x:row>
    <x:row r="39" ht="88" customHeight="1">
      <x:c r="A39" s="7" t="str">
        <x:v>mh4-schedule-zh-06</x:v>
      </x:c>
      <x:c r="B39" s="7" t="str">
        <x:v>schedule</x:v>
      </x:c>
      <x:c r="C39" s="7" t="str">
        <x:v>新增2026-11-08下午3点的轮胎更换预约。</x:v>
      </x:c>
      <x:c r="D39" s="7" t="str">
        <x:v>draft</x:v>
      </x:c>
      <x:c r="E39" s="7" t="str">
        <x:v>schedule</x:v>
      </x:c>
      <x:c r="F39" s="7" t="str">
        <x:v>draft</x:v>
      </x:c>
      <x:c r="G39" s="7" t="str">
        <x:v>schedule</x:v>
      </x:c>
      <x:c r="H39" s="8" t="n">
        <x:v>1</x:v>
      </x:c>
      <x:c r="I39" s="8" t="n">
        <x:v>2</x:v>
      </x:c>
      <x:c r="J39" s="8" t="n">
        <x:v>2</x:v>
      </x:c>
      <x:c r="K39" s="8" t="n">
        <x:v>1</x:v>
      </x:c>
      <x:c r="L39" s="8" t="n">
        <x:v>1</x:v>
      </x:c>
      <x:c r="M39" s="8" t="n">
        <x:v>1</x:v>
      </x:c>
      <x:c r="N39" s="7" t="str"/>
      <x:c r="O39" s="7" t="str">
        <x:v>{"status":"draft","module":"schedule","title":{"containsAny":["轮胎"]},"date":"2026-11-08","time":"15:00"}</x:v>
      </x:c>
      <x:c r="P39" s="7" t="str">
        <x:v>{"status":"draft","reason":null,"module":"schedule","draft":null,"fields":{"id":"a960af06-0203-40d2-89e9-5754fca95ee0","title":"轮胎更换预约","notes":"","date":"2026-11-08","time":"15:00","amount":null,"kind":null,"category":null,"account":null,"timezone":"Asia/Shanghai"}}</x:v>
      </x:c>
      <x:c r="Q39" s="7" t="str">
        <x:v>{"intent":"single_task","module":"schedule","title":"轮胎更换预约","notes":"","date_text":"2026-11-08","time_text":"15:00"}</x:v>
      </x:c>
      <x:c r="R39" s="8" t="n">
        <x:v>1</x:v>
      </x:c>
      <x:c r="S39" s="8" t="n">
        <x:v>1</x:v>
      </x:c>
      <x:c r="T39" s="8" t="n">
        <x:v>1</x:v>
      </x:c>
      <x:c r="U39" s="8" t="n">
        <x:v>1</x:v>
      </x:c>
      <x:c r="V39" s="7" t="str">
        <x:v>absolute_date</x:v>
      </x:c>
    </x:row>
    <x:row r="40" ht="88" customHeight="1">
      <x:c r="A40" s="7" t="str">
        <x:v>mh4-finance-zh-02</x:v>
      </x:c>
      <x:c r="B40" s="7" t="str">
        <x:v>finance</x:v>
      </x:c>
      <x:c r="C40" s="7" t="str">
        <x:v>今天微信付了7元的公交车费，帮我记账。</x:v>
      </x:c>
      <x:c r="D40" s="7" t="str">
        <x:v>draft</x:v>
      </x:c>
      <x:c r="E40" s="7" t="str">
        <x:v>finance</x:v>
      </x:c>
      <x:c r="F40" s="7" t="str">
        <x:v>draft</x:v>
      </x:c>
      <x:c r="G40" s="7" t="str">
        <x:v>finance</x:v>
      </x:c>
      <x:c r="H40" s="8" t="n">
        <x:v>1</x:v>
      </x:c>
      <x:c r="I40" s="8" t="n">
        <x:v>6</x:v>
      </x:c>
      <x:c r="J40" s="8" t="n">
        <x:v>6</x:v>
      </x:c>
      <x:c r="K40" s="8" t="n">
        <x:v>1</x:v>
      </x:c>
      <x:c r="L40" s="8" t="n">
        <x:v>1</x:v>
      </x:c>
      <x:c r="M40" s="8" t="n">
        <x:v>1</x:v>
      </x:c>
      <x:c r="N40" s="7" t="str"/>
      <x:c r="O40" s="7" t="str">
        <x:v>{"status":"draft","module":"finance","title":{"containsAny":["公交"]},"amount":"7","kind":"expense","category":"Transport","account":"WeChat","date":"2026-10-06"}</x:v>
      </x:c>
      <x:c r="P40" s="7" t="str">
        <x:v>{"status":"draft","reason":null,"module":"finance","draft":null,"fields":{"id":"73091752-5a25-48ca-ab3e-6224fbea7bf3","title":"公交车费","notes":"","date":"2026-10-06","time":null,"amount":"7","kind":"expense","category":"Transport","account":"WeChat","timezone":"Asia/Shanghai"}}</x:v>
      </x:c>
      <x:c r="Q40" s="7" t="str">
        <x:v>{"intent":"single_task","module":"finance","title":"公交车费","notes":"","date_text":"今天","amount":"7","kind":"expense","category":"Bills","account":"WeChat"}</x:v>
      </x:c>
      <x:c r="R40" s="8" t="n">
        <x:v>1</x:v>
      </x:c>
      <x:c r="S40" s="8" t="n">
        <x:v>1</x:v>
      </x:c>
      <x:c r="T40" s="8" t="n">
        <x:v>1</x:v>
      </x:c>
      <x:c r="U40" s="8" t="n">
        <x:v>1</x:v>
      </x:c>
      <x:c r="V40" s="7" t="str">
        <x:v>complete</x:v>
      </x:c>
    </x:row>
    <x:row r="41" ht="90" customHeight="1">
      <x:c r="A41" s="7" t="str">
        <x:v>mh4-memo-zh-18</x:v>
      </x:c>
      <x:c r="B41" s="7" t="str">
        <x:v>memo</x:v>
      </x:c>
      <x:c r="C41" s="7" t="str">
        <x:v>别给我扣钱，只记个任务：查一下电费缴费方式。</x:v>
      </x:c>
      <x:c r="D41" s="7" t="str">
        <x:v>draft</x:v>
      </x:c>
      <x:c r="E41" s="7" t="str">
        <x:v>memo</x:v>
      </x:c>
      <x:c r="F41" s="7" t="str">
        <x:v>draft</x:v>
      </x:c>
      <x:c r="G41" s="7" t="str">
        <x:v>memo</x:v>
      </x:c>
      <x:c r="H41" s="8" t="n">
        <x:v>1</x:v>
      </x:c>
      <x:c r="I41" s="8" t="n">
        <x:v>1</x:v>
      </x:c>
      <x:c r="J41" s="8" t="n">
        <x:v>1</x:v>
      </x:c>
      <x:c r="K41" s="8" t="n">
        <x:v>1</x:v>
      </x:c>
      <x:c r="L41" s="8" t="n">
        <x:v>1</x:v>
      </x:c>
      <x:c r="M41" s="8" t="n">
        <x:v>1</x:v>
      </x:c>
      <x:c r="N41" s="7" t="str"/>
      <x:c r="O41" s="7" t="str">
        <x:v>{"status":"draft","module":"memo","title":{"containsAny":["电费"]},"date":null,"priority":null}</x:v>
      </x:c>
      <x:c r="P41" s="7" t="str">
        <x:v>{"status":"draft","reason":null,"draft":{"id":"580a2fb8-e2d4-490f-9a5e-a0ed4f89d0c6","title":"别给我扣钱，只记个任务：查一下电费缴费方式","notes":"","dueDate":null,"timezone":"Asia/Shanghai","priority":null,"dateText":null,"warnings":["date_missing","priority_missing"]},"module":"memo","fields":null}</x:v>
      </x:c>
      <x:c r="Q41" s="7" t="str">
        <x:v>{"intent":"single_task","module":"finance","title":"电费缴费方式","notes":""}</x:v>
      </x:c>
      <x:c r="R41" s="8" t="n">
        <x:v>1</x:v>
      </x:c>
      <x:c r="S41" s="8" t="n">
        <x:v>0</x:v>
      </x:c>
      <x:c r="T41" s="8" t="n">
        <x:v>1</x:v>
      </x:c>
      <x:c r="U41" s="8" t="n">
        <x:v>1</x:v>
      </x:c>
      <x:c r="V41" s="7" t="str">
        <x:v>cross_module</x:v>
      </x:c>
    </x:row>
    <x:row r="42" ht="88" customHeight="1">
      <x:c r="A42" s="7" t="str">
        <x:v>mh4-schedule-zh-18</x:v>
      </x:c>
      <x:c r="B42" s="7" t="str">
        <x:v>schedule</x:v>
      </x:c>
      <x:c r="C42" s="7" t="str">
        <x:v>保存本周一上午10点的洗车预约，已经发生过，也要补录。</x:v>
      </x:c>
      <x:c r="D42" s="7" t="str">
        <x:v>draft</x:v>
      </x:c>
      <x:c r="E42" s="7" t="str">
        <x:v>schedule</x:v>
      </x:c>
      <x:c r="F42" s="7" t="str">
        <x:v>draft</x:v>
      </x:c>
      <x:c r="G42" s="7" t="str">
        <x:v>schedule</x:v>
      </x:c>
      <x:c r="H42" s="8" t="n">
        <x:v>1</x:v>
      </x:c>
      <x:c r="I42" s="8" t="n">
        <x:v>2</x:v>
      </x:c>
      <x:c r="J42" s="8" t="n">
        <x:v>2</x:v>
      </x:c>
      <x:c r="K42" s="8" t="n">
        <x:v>1</x:v>
      </x:c>
      <x:c r="L42" s="8" t="n">
        <x:v>1</x:v>
      </x:c>
      <x:c r="M42" s="8" t="n">
        <x:v>1</x:v>
      </x:c>
      <x:c r="N42" s="7" t="str"/>
      <x:c r="O42" s="7" t="str">
        <x:v>{"status":"draft","module":"schedule","title":{"containsAny":["洗车"]},"date":"2026-10-05","time":"10:00"}</x:v>
      </x:c>
      <x:c r="P42" s="7" t="str">
        <x:v>{"status":"draft","reason":null,"module":"schedule","draft":null,"fields":{"id":"180418d3-835a-47c5-8336-6683b0999346","title":"洗车预约","notes":"已经发生过","date":"2026-10-05","time":"10:00","amount":null,"kind":null,"category":null,"account":null,"timezone":"Asia/Shanghai"}}</x:v>
      </x:c>
      <x:c r="Q42" s="7" t="str">
        <x:v>{"intent":"single_task","module":"schedule","title":"洗车预约","notes":"已经发生过","date_text":"本周一上午10点"}</x:v>
      </x:c>
      <x:c r="R42" s="8" t="n">
        <x:v>1</x:v>
      </x:c>
      <x:c r="S42" s="8" t="n">
        <x:v>1</x:v>
      </x:c>
      <x:c r="T42" s="8" t="n">
        <x:v>1</x:v>
      </x:c>
      <x:c r="U42" s="8" t="n">
        <x:v>1</x:v>
      </x:c>
      <x:c r="V42" s="7" t="str">
        <x:v>past_event</x:v>
      </x:c>
    </x:row>
    <x:row r="43" ht="88" customHeight="1">
      <x:c r="A43" s="7" t="str">
        <x:v>mh4-health-zh-19</x:v>
      </x:c>
      <x:c r="B43" s="7" t="str">
        <x:v>health</x:v>
      </x:c>
      <x:c r="C43" s="7" t="str">
        <x:v>把我今天骑车40分钟记进健康模块。</x:v>
      </x:c>
      <x:c r="D43" s="7" t="str">
        <x:v>clarification</x:v>
      </x:c>
      <x:c r="E43" s="7" t="str"/>
      <x:c r="F43" s="7" t="str">
        <x:v>clarification</x:v>
      </x:c>
      <x:c r="G43" s="7" t="str"/>
      <x:c r="H43" s="8" t="n">
        <x:v>1</x:v>
      </x:c>
      <x:c r="I43" s="8" t="n">
        <x:v>0</x:v>
      </x:c>
      <x:c r="J43" s="8" t="n">
        <x:v>0</x:v>
      </x:c>
      <x:c r="K43" s="8" t="n">
        <x:v>1</x:v>
      </x:c>
      <x:c r="L43" s="8" t="n">
        <x:v>0</x:v>
      </x:c>
      <x:c r="M43" s="8" t="n">
        <x:v>0</x:v>
      </x:c>
      <x:c r="N43" s="7" t="str"/>
      <x:c r="O43" s="7" t="str">
        <x:v>{"status":"clarification","module":null}</x:v>
      </x:c>
      <x:c r="P43" s="7" t="str">
        <x:v>{"status":"clarification","reason":"health_unsupported","module":null,"draft":null,"fields":null}</x:v>
      </x:c>
      <x:c r="Q43" s="7" t="str">
        <x:v>{"intent":"single_task","module":"health","title":"骑车","notes":"","date_text":"今天","time_text":"40分钟"}</x:v>
      </x:c>
      <x:c r="R43" s="8" t="n">
        <x:v>1</x:v>
      </x:c>
      <x:c r="S43" s="8" t="n">
        <x:v>0</x:v>
      </x:c>
      <x:c r="T43" s="8" t="n">
        <x:v>0</x:v>
      </x:c>
      <x:c r="U43" s="8" t="n">
        <x:v>0</x:v>
      </x:c>
      <x:c r="V43" s="7" t="str">
        <x:v>exercise_logging</x:v>
      </x:c>
    </x:row>
    <x:row r="44" ht="88" customHeight="1">
      <x:c r="A44" s="7" t="str">
        <x:v>mh4-schedule-zh-01</x:v>
      </x:c>
      <x:c r="B44" s="7" t="str">
        <x:v>schedule</x:v>
      </x:c>
      <x:c r="C44" s="7" t="str">
        <x:v>日历占个位置：明天下午四点，牙套复诊。</x:v>
      </x:c>
      <x:c r="D44" s="7" t="str">
        <x:v>draft</x:v>
      </x:c>
      <x:c r="E44" s="7" t="str">
        <x:v>schedule</x:v>
      </x:c>
      <x:c r="F44" s="7" t="str">
        <x:v>draft</x:v>
      </x:c>
      <x:c r="G44" s="7" t="str">
        <x:v>schedule</x:v>
      </x:c>
      <x:c r="H44" s="8" t="n">
        <x:v>1</x:v>
      </x:c>
      <x:c r="I44" s="8" t="n">
        <x:v>2</x:v>
      </x:c>
      <x:c r="J44" s="8" t="n">
        <x:v>2</x:v>
      </x:c>
      <x:c r="K44" s="8" t="n">
        <x:v>0</x:v>
      </x:c>
      <x:c r="L44" s="8" t="n">
        <x:v>1</x:v>
      </x:c>
      <x:c r="M44" s="8" t="n">
        <x:v>0</x:v>
      </x:c>
      <x:c r="N44" s="7" t="str">
        <x:v>time</x:v>
      </x:c>
      <x:c r="O44" s="7" t="str">
        <x:v>{"status":"draft","module":"schedule","title":{"containsAny":["牙套","复诊"]},"date":"2026-10-07","time":"16:00"}</x:v>
      </x:c>
      <x:c r="P44" s="7" t="str">
        <x:v>{"status":"draft","reason":null,"module":"schedule","draft":null,"fields":{"id":"b312084c-3213-4716-971a-882828fb6a7e","title":"牙套复诊","notes":"","date":"2026-10-07","time":null,"amount":null,"kind":null,"category":null,"account":null,"timezone":"Asia/Shanghai"}}</x:v>
      </x:c>
      <x:c r="Q44" s="7" t="str">
        <x:v>{"intent":"single_task","module":"schedule","title":"牙套复诊","notes":"","date_text":"明天","time_text":"下午四点"}</x:v>
      </x:c>
      <x:c r="R44" s="8" t="n">
        <x:v>1</x:v>
      </x:c>
      <x:c r="S44" s="8" t="n">
        <x:v>1</x:v>
      </x:c>
      <x:c r="T44" s="8" t="n">
        <x:v>1</x:v>
      </x:c>
      <x:c r="U44" s="8" t="n">
        <x:v>1</x:v>
      </x:c>
      <x:c r="V44" s="7" t="str">
        <x:v>colloquial</x:v>
      </x:c>
    </x:row>
    <x:row r="45" ht="88" customHeight="1">
      <x:c r="A45" s="7" t="str">
        <x:v>mh4-memo-zh-07</x:v>
      </x:c>
      <x:c r="B45" s="7" t="str">
        <x:v>memo</x:v>
      </x:c>
      <x:c r="C45" s="7" t="str">
        <x:v>不是要加日程，我只想记住烤箱预热要十分钟。</x:v>
      </x:c>
      <x:c r="D45" s="7" t="str">
        <x:v>draft</x:v>
      </x:c>
      <x:c r="E45" s="7" t="str">
        <x:v>memo</x:v>
      </x:c>
      <x:c r="F45" s="7" t="str">
        <x:v>draft</x:v>
      </x:c>
      <x:c r="G45" s="7" t="str">
        <x:v>schedule</x:v>
      </x:c>
      <x:c r="H45" s="8" t="n">
        <x:v>0</x:v>
      </x:c>
      <x:c r="I45" s="8" t="n">
        <x:v>1</x:v>
      </x:c>
      <x:c r="J45" s="8" t="n">
        <x:v>1</x:v>
      </x:c>
      <x:c r="K45" s="8" t="n">
        <x:v>0</x:v>
      </x:c>
      <x:c r="L45" s="8" t="n">
        <x:v>1</x:v>
      </x:c>
      <x:c r="M45" s="8" t="n">
        <x:v>0</x:v>
      </x:c>
      <x:c r="N45" s="7" t="str">
        <x:v>module, priority</x:v>
      </x:c>
      <x:c r="O45" s="7" t="str">
        <x:v>{"status":"draft","module":"memo","title":{"containsAny":["烤箱","预热"]},"date":null,"priority":null}</x:v>
      </x:c>
      <x:c r="P45" s="7" t="str">
        <x:v>{"status":"draft","reason":null,"module":"schedule","draft":null,"fields":{"id":"a3ab3f28-31c6-4a00-bb08-68e5951ac768","title":"烤箱预热","notes":"十分钟","date":null,"time":null,"amount":null,"kind":null,"category":null,"account":null,"timezone":"Asia/Shanghai"}}</x:v>
      </x:c>
      <x:c r="Q45" s="7" t="str">
        <x:v>{"intent":"single_task","module":"schedule","title":"烤箱预热","notes":"十分钟"}</x:v>
      </x:c>
      <x:c r="R45" s="8" t="n">
        <x:v>1</x:v>
      </x:c>
      <x:c r="S45" s="8" t="n">
        <x:v>0</x:v>
      </x:c>
      <x:c r="T45" s="8" t="n">
        <x:v>1</x:v>
      </x:c>
      <x:c r="U45" s="8" t="n">
        <x:v>1</x:v>
      </x:c>
      <x:c r="V45" s="7" t="str">
        <x:v>negation</x:v>
      </x:c>
    </x:row>
    <x:row r="46" ht="90" customHeight="1">
      <x:c r="A46" s="7" t="str">
        <x:v>mh4-finance-zh-23</x:v>
      </x:c>
      <x:c r="B46" s="7" t="str">
        <x:v>finance</x:v>
      </x:c>
      <x:c r="C46" s="7" t="str">
        <x:v>2026-09-21坐出租车花了47元，信用卡扣款，记支出。</x:v>
      </x:c>
      <x:c r="D46" s="7" t="str">
        <x:v>draft</x:v>
      </x:c>
      <x:c r="E46" s="7" t="str">
        <x:v>finance</x:v>
      </x:c>
      <x:c r="F46" s="7" t="str">
        <x:v>draft</x:v>
      </x:c>
      <x:c r="G46" s="7" t="str">
        <x:v>finance</x:v>
      </x:c>
      <x:c r="H46" s="8" t="n">
        <x:v>1</x:v>
      </x:c>
      <x:c r="I46" s="8" t="n">
        <x:v>6</x:v>
      </x:c>
      <x:c r="J46" s="8" t="n">
        <x:v>6</x:v>
      </x:c>
      <x:c r="K46" s="8" t="n">
        <x:v>1</x:v>
      </x:c>
      <x:c r="L46" s="8" t="n">
        <x:v>1</x:v>
      </x:c>
      <x:c r="M46" s="8" t="n">
        <x:v>1</x:v>
      </x:c>
      <x:c r="N46" s="7" t="str"/>
      <x:c r="O46" s="7" t="str">
        <x:v>{"status":"draft","module":"finance","title":{"containsAny":["出租"]},"amount":"47","kind":"expense","category":"Transport","account":"Credit Card","date":"2026-09-21"}</x:v>
      </x:c>
      <x:c r="P46" s="7" t="str">
        <x:v>{"status":"draft","reason":null,"module":"finance","draft":null,"fields":{"id":"16adbdf9-67a1-42c3-a8a3-a086772fe732","title":"2026-09-21坐出租车花了47元，信用卡扣款，记支出","notes":"记支出","date":"2026-09-21","time":null,"amount":"47","kind":"expense","category":"Transport","account":"Credit Card","timezone":"Asia/Shanghai"}}</x:v>
      </x:c>
      <x:c r="Q46" s="7" t="str">
        <x:v>{"intent":"single_task","module":"finance","title":"出租车费用","notes":"记支出","date_text":"2026-09-21","amount":"47","kind":"expense","category":"Transport","account":"Credit Card"}</x:v>
      </x:c>
      <x:c r="R46" s="8" t="n">
        <x:v>1</x:v>
      </x:c>
      <x:c r="S46" s="8" t="n">
        <x:v>1</x:v>
      </x:c>
      <x:c r="T46" s="8" t="n">
        <x:v>1</x:v>
      </x:c>
      <x:c r="U46" s="8" t="n">
        <x:v>1</x:v>
      </x:c>
      <x:c r="V46" s="7" t="str">
        <x:v>past_date</x:v>
      </x:c>
    </x:row>
    <x:row r="47" ht="90" customHeight="1">
      <x:c r="A47" s="7" t="str">
        <x:v>mh4-finance-zh-21</x:v>
      </x:c>
      <x:c r="B47" s="7" t="str">
        <x:v>finance</x:v>
      </x:c>
      <x:c r="C47" s="7" t="str">
        <x:v>不是待办，是已经买了：今天cash付18元买coffee☕。</x:v>
      </x:c>
      <x:c r="D47" s="7" t="str">
        <x:v>draft</x:v>
      </x:c>
      <x:c r="E47" s="7" t="str">
        <x:v>finance</x:v>
      </x:c>
      <x:c r="F47" s="7" t="str">
        <x:v>draft</x:v>
      </x:c>
      <x:c r="G47" s="7" t="str">
        <x:v>memo</x:v>
      </x:c>
      <x:c r="H47" s="8" t="n">
        <x:v>0</x:v>
      </x:c>
      <x:c r="I47" s="8" t="n">
        <x:v>2</x:v>
      </x:c>
      <x:c r="J47" s="8" t="n">
        <x:v>6</x:v>
      </x:c>
      <x:c r="K47" s="8" t="n">
        <x:v>0</x:v>
      </x:c>
      <x:c r="L47" s="8" t="n">
        <x:v>1</x:v>
      </x:c>
      <x:c r="M47" s="8" t="n">
        <x:v>0</x:v>
      </x:c>
      <x:c r="N47" s="7" t="str">
        <x:v>module, amount, kind, category, account</x:v>
      </x:c>
      <x:c r="O47" s="7" t="str">
        <x:v>{"status":"draft","module":"finance","title":{"containsAny":["coffee","咖啡"]},"amount":"18","kind":"expense","category":"Food &amp; Drinks","account":"Cash","date":"2026-10-06"}</x:v>
      </x:c>
      <x:c r="P47" s="7" t="str">
        <x:v>{"status":"draft","reason":null,"draft":{"id":"2f237d45-9b81-4460-a4c9-07d0702934ce","title":"不是待办，是已经买了：今天cash付18元买coffee☕","notes":"今天cash付18元买coffee☕","dueDate":"2026-10-06","timezone":"Asia/Shanghai","priority":null,"dateText":"今天","warnings":["priority_missing"]},"module":"memo","fields":null}</x:v>
      </x:c>
      <x:c r="Q47" s="7" t="str">
        <x:v>{"intent":"single_task","module":"finance","title":"咖啡","notes":"今天cash付18元买coffee☕","date_text":"今天","amount":"18","kind":"expense","category":"Shopping","account":"Cash"}</x:v>
      </x:c>
      <x:c r="R47" s="8" t="n">
        <x:v>1</x:v>
      </x:c>
      <x:c r="S47" s="8" t="n">
        <x:v>1</x:v>
      </x:c>
      <x:c r="T47" s="8" t="n">
        <x:v>1</x:v>
      </x:c>
      <x:c r="U47" s="8" t="n">
        <x:v>1</x:v>
      </x:c>
      <x:c r="V47" s="7" t="str">
        <x:v>mixed_language</x:v>
      </x:c>
    </x:row>
    <x:row r="48" ht="88" customHeight="1">
      <x:c r="A48" s="7" t="str">
        <x:v>mh4-schedule-zh-14</x:v>
      </x:c>
      <x:c r="B48" s="7" t="str">
        <x:v>schedule</x:v>
      </x:c>
      <x:c r="C48" s="7" t="str">
        <x:v>本周三晚上6点半上法语棵，打错了，是法语课。</x:v>
      </x:c>
      <x:c r="D48" s="7" t="str">
        <x:v>draft</x:v>
      </x:c>
      <x:c r="E48" s="7" t="str">
        <x:v>schedule</x:v>
      </x:c>
      <x:c r="F48" s="7" t="str">
        <x:v>draft</x:v>
      </x:c>
      <x:c r="G48" s="7" t="str">
        <x:v>schedule</x:v>
      </x:c>
      <x:c r="H48" s="8" t="n">
        <x:v>1</x:v>
      </x:c>
      <x:c r="I48" s="8" t="n">
        <x:v>2</x:v>
      </x:c>
      <x:c r="J48" s="8" t="n">
        <x:v>2</x:v>
      </x:c>
      <x:c r="K48" s="8" t="n">
        <x:v>1</x:v>
      </x:c>
      <x:c r="L48" s="8" t="n">
        <x:v>1</x:v>
      </x:c>
      <x:c r="M48" s="8" t="n">
        <x:v>1</x:v>
      </x:c>
      <x:c r="N48" s="7" t="str"/>
      <x:c r="O48" s="7" t="str">
        <x:v>{"status":"draft","module":"schedule","title":{"containsAny":["法语"]},"date":"2026-10-07","time":"18:30"}</x:v>
      </x:c>
      <x:c r="P48" s="7" t="str">
        <x:v>{"status":"draft","reason":null,"module":"schedule","draft":null,"fields":{"id":"d4b94df2-b8c2-4c6e-93ee-1d32affb5b72","title":"法语课","notes":"","date":"2026-10-07","time":"18:30","amount":null,"kind":null,"category":null,"account":null,"timezone":"Asia/Shanghai"}}</x:v>
      </x:c>
      <x:c r="Q48" s="7" t="str">
        <x:v>{"intent":"single_task","module":"schedule","title":"法语课","notes":"","date_text":"this Wednesday","time_text":"6:30 PM"}</x:v>
      </x:c>
      <x:c r="R48" s="8" t="n">
        <x:v>1</x:v>
      </x:c>
      <x:c r="S48" s="8" t="n">
        <x:v>1</x:v>
      </x:c>
      <x:c r="T48" s="8" t="n">
        <x:v>1</x:v>
      </x:c>
      <x:c r="U48" s="8" t="n">
        <x:v>1</x:v>
      </x:c>
      <x:c r="V48" s="7" t="str">
        <x:v>typo</x:v>
      </x:c>
    </x:row>
    <x:row r="49" ht="88" customHeight="1">
      <x:c r="A49" s="7" t="str">
        <x:v>mh4-finance-zh-09</x:v>
      </x:c>
      <x:c r="B49" s="7" t="str">
        <x:v>finance</x:v>
      </x:c>
      <x:c r="C49" s="7" t="str">
        <x:v>水费今天用支付宝交了61元。</x:v>
      </x:c>
      <x:c r="D49" s="7" t="str">
        <x:v>draft</x:v>
      </x:c>
      <x:c r="E49" s="7" t="str">
        <x:v>finance</x:v>
      </x:c>
      <x:c r="F49" s="7" t="str">
        <x:v>draft</x:v>
      </x:c>
      <x:c r="G49" s="7" t="str">
        <x:v>finance</x:v>
      </x:c>
      <x:c r="H49" s="8" t="n">
        <x:v>1</x:v>
      </x:c>
      <x:c r="I49" s="8" t="n">
        <x:v>6</x:v>
      </x:c>
      <x:c r="J49" s="8" t="n">
        <x:v>6</x:v>
      </x:c>
      <x:c r="K49" s="8" t="n">
        <x:v>1</x:v>
      </x:c>
      <x:c r="L49" s="8" t="n">
        <x:v>1</x:v>
      </x:c>
      <x:c r="M49" s="8" t="n">
        <x:v>1</x:v>
      </x:c>
      <x:c r="N49" s="7" t="str"/>
      <x:c r="O49" s="7" t="str">
        <x:v>{"status":"draft","module":"finance","title":{"containsAny":["水费"]},"amount":"61","kind":"expense","category":"Bills","account":"Alipay","date":"2026-10-06"}</x:v>
      </x:c>
      <x:c r="P49" s="7" t="str">
        <x:v>{"status":"draft","reason":null,"module":"finance","draft":null,"fields":{"id":"73d6854c-c4a5-4e08-b4ad-4d682a7d092c","title":"水费","notes":"","date":"2026-10-06","time":null,"amount":"61","kind":"expense","category":"Bills","account":"Alipay","timezone":"Asia/Shanghai"}}</x:v>
      </x:c>
      <x:c r="Q49" s="7" t="str">
        <x:v>{"intent":"single_task","module":"finance","title":"水费","notes":"","date_text":"今天","amount":"61","kind":"expense","category":"Bills","account":"支付宝"}</x:v>
      </x:c>
      <x:c r="R49" s="8" t="n">
        <x:v>1</x:v>
      </x:c>
      <x:c r="S49" s="8" t="n">
        <x:v>1</x:v>
      </x:c>
      <x:c r="T49" s="8" t="n">
        <x:v>1</x:v>
      </x:c>
      <x:c r="U49" s="8" t="n">
        <x:v>1</x:v>
      </x:c>
      <x:c r="V49" s="7" t="str">
        <x:v>complete</x:v>
      </x:c>
    </x:row>
    <x:row r="50" ht="88" customHeight="1">
      <x:c r="A50" s="7" t="str">
        <x:v>mh4-finance-zh-05</x:v>
      </x:c>
      <x:c r="B50" s="7" t="str">
        <x:v>finance</x:v>
      </x:c>
      <x:c r="C50" s="7" t="str">
        <x:v>这个月工资到账4800元，今天入银行卡。</x:v>
      </x:c>
      <x:c r="D50" s="7" t="str">
        <x:v>draft</x:v>
      </x:c>
      <x:c r="E50" s="7" t="str">
        <x:v>finance</x:v>
      </x:c>
      <x:c r="F50" s="7" t="str">
        <x:v>draft</x:v>
      </x:c>
      <x:c r="G50" s="7" t="str">
        <x:v>finance</x:v>
      </x:c>
      <x:c r="H50" s="8" t="n">
        <x:v>1</x:v>
      </x:c>
      <x:c r="I50" s="8" t="n">
        <x:v>6</x:v>
      </x:c>
      <x:c r="J50" s="8" t="n">
        <x:v>6</x:v>
      </x:c>
      <x:c r="K50" s="8" t="n">
        <x:v>1</x:v>
      </x:c>
      <x:c r="L50" s="8" t="n">
        <x:v>1</x:v>
      </x:c>
      <x:c r="M50" s="8" t="n">
        <x:v>1</x:v>
      </x:c>
      <x:c r="N50" s="7" t="str"/>
      <x:c r="O50" s="7" t="str">
        <x:v>{"status":"draft","module":"finance","title":{"containsAny":["工资"]},"amount":"4800","kind":"income","category":"Salary","account":"Bank Card","date":"2026-10-06"}</x:v>
      </x:c>
      <x:c r="P50" s="7" t="str">
        <x:v>{"status":"draft","reason":null,"module":"finance","draft":null,"fields":{"id":"0d65a12e-7946-4e6d-9152-251b5061db47","title":"工资","notes":"","date":"2026-10-06","time":null,"amount":"4800","kind":"income","category":"Salary","account":"Bank Card","timezone":"Asia/Shanghai"}}</x:v>
      </x:c>
      <x:c r="Q50" s="7" t="str">
        <x:v>{"intent":"single_task","module":"finance","title":"工资","notes":"","date_text":"今天","amount":"4800","kind":"income","category":"Salary","account":"Bank Card"}</x:v>
      </x:c>
      <x:c r="R50" s="8" t="n">
        <x:v>1</x:v>
      </x:c>
      <x:c r="S50" s="8" t="n">
        <x:v>1</x:v>
      </x:c>
      <x:c r="T50" s="8" t="n">
        <x:v>1</x:v>
      </x:c>
      <x:c r="U50" s="8" t="n">
        <x:v>1</x:v>
      </x:c>
      <x:c r="V50" s="7" t="str">
        <x:v>complete</x:v>
      </x:c>
    </x:row>
    <x:row r="51" ht="88" customHeight="1">
      <x:c r="A51" s="7" t="str">
        <x:v>mh4-schedule-zh-02</x:v>
      </x:c>
      <x:c r="B51" s="7" t="str">
        <x:v>schedule</x:v>
      </x:c>
      <x:c r="C51" s="7" t="str">
        <x:v>这周四晚上7点安排摄影课。</x:v>
      </x:c>
      <x:c r="D51" s="7" t="str">
        <x:v>draft</x:v>
      </x:c>
      <x:c r="E51" s="7" t="str">
        <x:v>schedule</x:v>
      </x:c>
      <x:c r="F51" s="7" t="str">
        <x:v>draft</x:v>
      </x:c>
      <x:c r="G51" s="7" t="str">
        <x:v>schedule</x:v>
      </x:c>
      <x:c r="H51" s="8" t="n">
        <x:v>1</x:v>
      </x:c>
      <x:c r="I51" s="8" t="n">
        <x:v>2</x:v>
      </x:c>
      <x:c r="J51" s="8" t="n">
        <x:v>2</x:v>
      </x:c>
      <x:c r="K51" s="8" t="n">
        <x:v>1</x:v>
      </x:c>
      <x:c r="L51" s="8" t="n">
        <x:v>1</x:v>
      </x:c>
      <x:c r="M51" s="8" t="n">
        <x:v>1</x:v>
      </x:c>
      <x:c r="N51" s="7" t="str"/>
      <x:c r="O51" s="7" t="str">
        <x:v>{"status":"draft","module":"schedule","title":{"containsAny":["摄影"]},"date":"2026-10-08","time":"19:00"}</x:v>
      </x:c>
      <x:c r="P51" s="7" t="str">
        <x:v>{"status":"draft","reason":null,"module":"schedule","draft":null,"fields":{"id":"69fcf6af-f2bf-4515-9c34-086c74720536","title":"摄影课","notes":"","date":"2026-10-08","time":"19:00","amount":null,"kind":null,"category":null,"account":null,"timezone":"Asia/Shanghai"}}</x:v>
      </x:c>
      <x:c r="Q51" s="7" t="str">
        <x:v>{"intent":"single_task","module":"schedule","title":"摄影课","notes":"","date_text":"这周四","time_text":"晚上7点"}</x:v>
      </x:c>
      <x:c r="R51" s="8" t="n">
        <x:v>1</x:v>
      </x:c>
      <x:c r="S51" s="8" t="n">
        <x:v>1</x:v>
      </x:c>
      <x:c r="T51" s="8" t="n">
        <x:v>1</x:v>
      </x:c>
      <x:c r="U51" s="8" t="n">
        <x:v>1</x:v>
      </x:c>
      <x:c r="V51" s="7" t="str">
        <x:v>calendar_week</x:v>
      </x:c>
    </x:row>
    <x:row r="52" ht="88" customHeight="1">
      <x:c r="A52" s="7" t="str">
        <x:v>mh4-finance-zh-11</x:v>
      </x:c>
      <x:c r="B52" s="7" t="str">
        <x:v>finance</x:v>
      </x:c>
      <x:c r="C52" s="7" t="str">
        <x:v>买了地铁票6元，忘了是哪天，现金付款。</x:v>
      </x:c>
      <x:c r="D52" s="7" t="str">
        <x:v>draft</x:v>
      </x:c>
      <x:c r="E52" s="7" t="str">
        <x:v>finance</x:v>
      </x:c>
      <x:c r="F52" s="7" t="str">
        <x:v>draft</x:v>
      </x:c>
      <x:c r="G52" s="7" t="str">
        <x:v>finance</x:v>
      </x:c>
      <x:c r="H52" s="8" t="n">
        <x:v>1</x:v>
      </x:c>
      <x:c r="I52" s="8" t="n">
        <x:v>6</x:v>
      </x:c>
      <x:c r="J52" s="8" t="n">
        <x:v>6</x:v>
      </x:c>
      <x:c r="K52" s="8" t="n">
        <x:v>1</x:v>
      </x:c>
      <x:c r="L52" s="8" t="n">
        <x:v>1</x:v>
      </x:c>
      <x:c r="M52" s="8" t="n">
        <x:v>1</x:v>
      </x:c>
      <x:c r="N52" s="7" t="str"/>
      <x:c r="O52" s="7" t="str">
        <x:v>{"status":"draft","module":"finance","title":{"containsAny":["地铁"]},"amount":"6","kind":"expense","category":"Transport","account":"Cash","date":null}</x:v>
      </x:c>
      <x:c r="P52" s="7" t="str">
        <x:v>{"status":"draft","reason":null,"module":"finance","draft":null,"fields":{"id":"eb572999-8001-4a5d-a983-f4bba002babe","title":"地铁票","notes":"","date":null,"time":null,"amount":"6","kind":"expense","category":"Transport","account":"Cash","timezone":"Asia/Shanghai"}}</x:v>
      </x:c>
      <x:c r="Q52" s="7" t="str">
        <x:v>{"intent":"single_task","module":"finance","title":"地铁票","notes":"","date_text":"null","amount":"6","kind":"expense","category":"Transport","account":"Cash"}</x:v>
      </x:c>
      <x:c r="R52" s="8" t="n">
        <x:v>1</x:v>
      </x:c>
      <x:c r="S52" s="8" t="n">
        <x:v>1</x:v>
      </x:c>
      <x:c r="T52" s="8" t="n">
        <x:v>1</x:v>
      </x:c>
      <x:c r="U52" s="8" t="n">
        <x:v>1</x:v>
      </x:c>
      <x:c r="V52" s="7" t="str">
        <x:v>missing_date</x:v>
      </x:c>
    </x:row>
    <x:row r="53" ht="88" customHeight="1">
      <x:c r="A53" s="7" t="str">
        <x:v>mh4-schedule-zh-13</x:v>
      </x:c>
      <x:c r="B53" s="7" t="str">
        <x:v>schedule</x:v>
      </x:c>
      <x:c r="C53" s="7" t="str">
        <x:v>安排明天上午的camera维修取件，11点整。</x:v>
      </x:c>
      <x:c r="D53" s="7" t="str">
        <x:v>draft</x:v>
      </x:c>
      <x:c r="E53" s="7" t="str">
        <x:v>schedule</x:v>
      </x:c>
      <x:c r="F53" s="7" t="str">
        <x:v>draft</x:v>
      </x:c>
      <x:c r="G53" s="7" t="str">
        <x:v>schedule</x:v>
      </x:c>
      <x:c r="H53" s="8" t="n">
        <x:v>1</x:v>
      </x:c>
      <x:c r="I53" s="8" t="n">
        <x:v>2</x:v>
      </x:c>
      <x:c r="J53" s="8" t="n">
        <x:v>2</x:v>
      </x:c>
      <x:c r="K53" s="8" t="n">
        <x:v>1</x:v>
      </x:c>
      <x:c r="L53" s="8" t="n">
        <x:v>1</x:v>
      </x:c>
      <x:c r="M53" s="8" t="n">
        <x:v>1</x:v>
      </x:c>
      <x:c r="N53" s="7" t="str"/>
      <x:c r="O53" s="7" t="str">
        <x:v>{"status":"draft","module":"schedule","title":{"containsAny":["camera","维修"]},"date":"2026-10-07","time":"11:00"}</x:v>
      </x:c>
      <x:c r="P53" s="7" t="str">
        <x:v>{"status":"draft","reason":null,"module":"schedule","draft":null,"fields":{"id":"4f1dd939-30d3-4b1f-9e21-0b1f2cb72a29","title":"Camera维修取件","notes":"","date":"2026-10-07","time":"11:00","amount":null,"kind":null,"category":null,"account":null,"timezone":"Asia/Shanghai"}}</x:v>
      </x:c>
      <x:c r="Q53" s="7" t="str">
        <x:v>{"intent":"single_task","module":"schedule","title":"Camera维修取件","notes":"","date_text":"明天","time_text":"11:00"}</x:v>
      </x:c>
      <x:c r="R53" s="8" t="n">
        <x:v>1</x:v>
      </x:c>
      <x:c r="S53" s="8" t="n">
        <x:v>1</x:v>
      </x:c>
      <x:c r="T53" s="8" t="n">
        <x:v>1</x:v>
      </x:c>
      <x:c r="U53" s="8" t="n">
        <x:v>1</x:v>
      </x:c>
      <x:c r="V53" s="7" t="str">
        <x:v>mixed_language</x:v>
      </x:c>
    </x:row>
    <x:row r="54" ht="88" customHeight="1">
      <x:c r="A54" s="7" t="str">
        <x:v>mh4-health-zh-26</x:v>
      </x:c>
      <x:c r="B54" s="7" t="str">
        <x:v>health</x:v>
      </x:c>
      <x:c r="C54" s="7" t="str">
        <x:v>显示今天手机用时，再建一个今晚10点放下手机的待办。</x:v>
      </x:c>
      <x:c r="D54" s="7" t="str">
        <x:v>clarification</x:v>
      </x:c>
      <x:c r="E54" s="7" t="str"/>
      <x:c r="F54" s="7" t="str"/>
      <x:c r="G54" s="7" t="str"/>
      <x:c r="H54" s="8" t="n">
        <x:v>0</x:v>
      </x:c>
      <x:c r="I54" s="8" t="n">
        <x:v>0</x:v>
      </x:c>
      <x:c r="J54" s="8" t="n">
        <x:v>0</x:v>
      </x:c>
      <x:c r="K54" s="8" t="n">
        <x:v>0</x:v>
      </x:c>
      <x:c r="L54" s="8" t="n">
        <x:v>0</x:v>
      </x:c>
      <x:c r="M54" s="8" t="n">
        <x:v>0</x:v>
      </x:c>
      <x:c r="N54" s="7" t="str">
        <x:v>ValueError</x:v>
      </x:c>
      <x:c r="O54" s="7" t="str">
        <x:v>{"status":"clarification","module":null}</x:v>
      </x:c>
      <x:c r="P54" s="7" t="str">
        <x:v>{}</x:v>
      </x:c>
      <x:c r="Q54" s="7" t="str">
        <x:v>{"intent":"single_task","module":"health","title":"查看手机使用时长","notes":""} {"intent":"single_task","module":"schedule","title":"放下手机","notes":"今晚10点"}</x:v>
      </x:c>
      <x:c r="R54" s="8" t="n">
        <x:v>1</x:v>
      </x:c>
      <x:c r="S54" s="8" t="n">
        <x:v>0</x:v>
      </x:c>
      <x:c r="T54" s="8" t="n">
        <x:v>0</x:v>
      </x:c>
      <x:c r="U54" s="8" t="n">
        <x:v>0</x:v>
      </x:c>
      <x:c r="V54" s="7" t="str">
        <x:v>multiple_actions</x:v>
      </x:c>
    </x:row>
    <x:row r="55" ht="88" customHeight="1">
      <x:c r="A55" s="7" t="str">
        <x:v>mh4-health-zh-27</x:v>
      </x:c>
      <x:c r="B55" s="7" t="str">
        <x:v>health</x:v>
      </x:c>
      <x:c r="C55" s="7" t="str">
        <x:v>先打开健康使用统计，然后记我今天的早餐支出12元。</x:v>
      </x:c>
      <x:c r="D55" s="7" t="str">
        <x:v>clarification</x:v>
      </x:c>
      <x:c r="E55" s="7" t="str"/>
      <x:c r="F55" s="7" t="str">
        <x:v>draft</x:v>
      </x:c>
      <x:c r="G55" s="7" t="str">
        <x:v>health</x:v>
      </x:c>
      <x:c r="H55" s="8" t="n">
        <x:v>0</x:v>
      </x:c>
      <x:c r="I55" s="8" t="n">
        <x:v>0</x:v>
      </x:c>
      <x:c r="J55" s="8" t="n">
        <x:v>0</x:v>
      </x:c>
      <x:c r="K55" s="8" t="n">
        <x:v>0</x:v>
      </x:c>
      <x:c r="L55" s="8" t="n">
        <x:v>0</x:v>
      </x:c>
      <x:c r="M55" s="8" t="n">
        <x:v>0</x:v>
      </x:c>
      <x:c r="N55" s="7" t="str">
        <x:v>status, module</x:v>
      </x:c>
      <x:c r="O55" s="7" t="str">
        <x:v>{"status":"clarification","module":null}</x:v>
      </x:c>
      <x:c r="P55" s="7" t="str">
        <x:v>{"status":"draft","reason":null,"module":"health","draft":null,"fields":{"id":"cca95ff8-4d52-42f3-a476-70f4f37ad81f","title":"查看手机使用情况","notes":"12元","date":"2026-10-06","time":null,"amount":null,"kind":null,"category":null,"account":null,"timezone":"Asia/Shanghai"}}</x:v>
      </x:c>
      <x:c r="Q55" s="7" t="str">
        <x:v>{"intent":"single_task","module":"finance","title":"早餐支出","notes":"12元","date_text":"今天","amount":"12","kind":"expense","category":"Food &amp; Drinks","account":"Cash"}</x:v>
      </x:c>
      <x:c r="R55" s="8" t="n">
        <x:v>1</x:v>
      </x:c>
      <x:c r="S55" s="8" t="n">
        <x:v>0</x:v>
      </x:c>
      <x:c r="T55" s="8" t="n">
        <x:v>0</x:v>
      </x:c>
      <x:c r="U55" s="8" t="n">
        <x:v>0</x:v>
      </x:c>
      <x:c r="V55" s="7" t="str">
        <x:v>multiple_actions</x:v>
      </x:c>
    </x:row>
    <x:row r="56" ht="88" customHeight="1">
      <x:c r="A56" s="7" t="str">
        <x:v>mh4-schedule-zh-10</x:v>
      </x:c>
      <x:c r="B56" s="7" t="str">
        <x:v>schedule</x:v>
      </x:c>
      <x:c r="C56" s="7" t="str">
        <x:v>会议在周三或者周四，我没确认，下午1点照旧。</x:v>
      </x:c>
      <x:c r="D56" s="7" t="str">
        <x:v>draft</x:v>
      </x:c>
      <x:c r="E56" s="7" t="str">
        <x:v>schedule</x:v>
      </x:c>
      <x:c r="F56" s="7" t="str">
        <x:v>draft</x:v>
      </x:c>
      <x:c r="G56" s="7" t="str">
        <x:v>schedule</x:v>
      </x:c>
      <x:c r="H56" s="8" t="n">
        <x:v>1</x:v>
      </x:c>
      <x:c r="I56" s="8" t="n">
        <x:v>2</x:v>
      </x:c>
      <x:c r="J56" s="8" t="n">
        <x:v>2</x:v>
      </x:c>
      <x:c r="K56" s="8" t="n">
        <x:v>1</x:v>
      </x:c>
      <x:c r="L56" s="8" t="n">
        <x:v>1</x:v>
      </x:c>
      <x:c r="M56" s="8" t="n">
        <x:v>1</x:v>
      </x:c>
      <x:c r="N56" s="7" t="str"/>
      <x:c r="O56" s="7" t="str">
        <x:v>{"status":"draft","module":"schedule","title":{"containsAny":["会议"]},"date":null,"time":"13:00"}</x:v>
      </x:c>
      <x:c r="P56" s="7" t="str">
        <x:v>{"status":"draft","reason":null,"module":"schedule","draft":null,"fields":{"id":"092c0a9f-5c9b-4b21-bf84-ab05eaa8e339","title":"会议","notes":"下午1点照旧","date":null,"time":"13:00","amount":null,"kind":null,"category":null,"account":null,"timezone":"Asia/Shanghai"}}</x:v>
      </x:c>
      <x:c r="Q56" s="7" t="str">
        <x:v>{"intent":"single_task","module":"schedule","title":"会议","notes":"下午1点照旧","date_text":"周三或者周四","time_text":"下午1点"}</x:v>
      </x:c>
      <x:c r="R56" s="8" t="n">
        <x:v>1</x:v>
      </x:c>
      <x:c r="S56" s="8" t="n">
        <x:v>1</x:v>
      </x:c>
      <x:c r="T56" s="8" t="n">
        <x:v>1</x:v>
      </x:c>
      <x:c r="U56" s="8" t="n">
        <x:v>1</x:v>
      </x:c>
      <x:c r="V56" s="7" t="str">
        <x:v>uncertain_date</x:v>
      </x:c>
    </x:row>
    <x:row r="57" ht="90" customHeight="1">
      <x:c r="A57" s="7" t="str">
        <x:v>mh4-finance-zh-29</x:v>
      </x:c>
      <x:c r="B57" s="7" t="str">
        <x:v>finance</x:v>
      </x:c>
      <x:c r="C57" s="7" t="str">
        <x:v>今天公交花4元，再帮我创建一个周日查路线的待办。</x:v>
      </x:c>
      <x:c r="D57" s="7" t="str">
        <x:v>clarification</x:v>
      </x:c>
      <x:c r="E57" s="7" t="str"/>
      <x:c r="F57" s="7" t="str">
        <x:v>draft</x:v>
      </x:c>
      <x:c r="G57" s="7" t="str">
        <x:v>memo</x:v>
      </x:c>
      <x:c r="H57" s="8" t="n">
        <x:v>0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7" t="str">
        <x:v>status, module</x:v>
      </x:c>
      <x:c r="O57" s="7" t="str">
        <x:v>{"status":"clarification","module":null}</x:v>
      </x:c>
      <x:c r="P57" s="7" t="str">
        <x:v>{"status":"draft","reason":null,"draft":{"id":"81692ba5-ac6a-4045-85ec-15f6a84c5965","title":"再帮我创建一个周日查路线的待办","notes":"再帮我创建一个周日查路线的待办","dueDate":"2026-10-06","timezone":"Asia/Shanghai","priority":null,"dateText":"今天","warnings":["priority_missing"]},"module":"memo","fields":null}</x:v>
      </x:c>
      <x:c r="Q57" s="7" t="str">
        <x:v>{"intent":"single_task","module":"schedule","title":"查路线","notes":"再帮我创建一个周日查路线的待办"}</x:v>
      </x:c>
      <x:c r="R57" s="8" t="n">
        <x:v>1</x:v>
      </x:c>
      <x:c r="S57" s="8" t="n">
        <x:v>0</x:v>
      </x:c>
      <x:c r="T57" s="8" t="n">
        <x:v>0</x:v>
      </x:c>
      <x:c r="U57" s="8" t="n">
        <x:v>0</x:v>
      </x:c>
      <x:c r="V57" s="7" t="str">
        <x:v>multiple_actions</x:v>
      </x:c>
    </x:row>
    <x:row r="58" ht="88" customHeight="1">
      <x:c r="A58" s="7" t="str">
        <x:v>mh4-schedule-zh-25</x:v>
      </x:c>
      <x:c r="B58" s="7" t="str">
        <x:v>schedule</x:v>
      </x:c>
      <x:c r="C58" s="7" t="str">
        <x:v>取消日历里已有的周末家庭聚餐。</x:v>
      </x:c>
      <x:c r="D58" s="7" t="str">
        <x:v>clarification</x:v>
      </x:c>
      <x:c r="E58" s="7" t="str"/>
      <x:c r="F58" s="7" t="str">
        <x:v>clarification</x:v>
      </x:c>
      <x:c r="G58" s="7" t="str"/>
      <x:c r="H58" s="8" t="n">
        <x:v>1</x:v>
      </x:c>
      <x:c r="I58" s="8" t="n">
        <x:v>0</x:v>
      </x:c>
      <x:c r="J58" s="8" t="n">
        <x:v>0</x:v>
      </x:c>
      <x:c r="K58" s="8" t="n">
        <x:v>1</x:v>
      </x:c>
      <x:c r="L58" s="8" t="n">
        <x:v>0</x:v>
      </x:c>
      <x:c r="M58" s="8" t="n">
        <x:v>0</x:v>
      </x:c>
      <x:c r="N58" s="7" t="str"/>
      <x:c r="O58" s="7" t="str">
        <x:v>{"status":"clarification","module":null}</x:v>
      </x:c>
      <x:c r="P58" s="7" t="str">
        <x:v>{"status":"clarification","reason":"unsupported_action","module":null,"draft":null,"fields":null}</x:v>
      </x:c>
      <x:c r="Q58" s="7" t="str"/>
      <x:c r="R58" s="8" t="n">
        <x:v>0</x:v>
      </x:c>
      <x:c r="S58" s="8"/>
      <x:c r="T58" s="8" t="n">
        <x:v>0</x:v>
      </x:c>
      <x:c r="U58" s="8" t="n">
        <x:v>0</x:v>
      </x:c>
      <x:c r="V58" s="7" t="str">
        <x:v>mutation</x:v>
      </x:c>
    </x:row>
    <x:row r="59" ht="88" customHeight="1">
      <x:c r="A59" s="7" t="str">
        <x:v>mh4-schedule-zh-30</x:v>
      </x:c>
      <x:c r="B59" s="7" t="str">
        <x:v>schedule</x:v>
      </x:c>
      <x:c r="C59" s="7" t="str">
        <x:v>直接给所有会议参与者发送日历邀请。</x:v>
      </x:c>
      <x:c r="D59" s="7" t="str">
        <x:v>clarification</x:v>
      </x:c>
      <x:c r="E59" s="7" t="str"/>
      <x:c r="F59" s="7" t="str">
        <x:v>draft</x:v>
      </x:c>
      <x:c r="G59" s="7" t="str">
        <x:v>schedule</x:v>
      </x:c>
      <x:c r="H59" s="8" t="n">
        <x:v>0</x:v>
      </x:c>
      <x:c r="I59" s="8" t="n">
        <x:v>0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7" t="str">
        <x:v>status, module</x:v>
      </x:c>
      <x:c r="O59" s="7" t="str">
        <x:v>{"status":"clarification","module":null}</x:v>
      </x:c>
      <x:c r="P59" s="7" t="str">
        <x:v>{"status":"draft","reason":null,"module":"schedule","draft":null,"fields":{"id":"b22f725c-57ab-477a-bc0a-4365ba77615c","title":"发送日历邀请","notes":"所有会议参与者","date":null,"time":null,"amount":null,"kind":null,"category":null,"account":null,"timezone":"Asia/Shanghai"}}</x:v>
      </x:c>
      <x:c r="Q59" s="7" t="str">
        <x:v>{"intent":"single_task","module":"schedule","title":"发送日历邀请","notes":"所有会议参与者","date_text":"所有会议日期","time_text":"所有会议时间"}</x:v>
      </x:c>
      <x:c r="R59" s="8" t="n">
        <x:v>1</x:v>
      </x:c>
      <x:c r="S59" s="8" t="n">
        <x:v>0</x:v>
      </x:c>
      <x:c r="T59" s="8" t="n">
        <x:v>0</x:v>
      </x:c>
      <x:c r="U59" s="8" t="n">
        <x:v>0</x:v>
      </x:c>
      <x:c r="V59" s="7" t="str">
        <x:v>external_action</x:v>
      </x:c>
    </x:row>
    <x:row r="60" ht="88" customHeight="1">
      <x:c r="A60" s="7" t="str">
        <x:v>mh4-memo-zh-15</x:v>
      </x:c>
      <x:c r="B60" s="7" t="str">
        <x:v>memo</x:v>
      </x:c>
      <x:c r="C60" s="7" t="str">
        <x:v>记住除霜冰箱这件事，紧急程度还没定。</x:v>
      </x:c>
      <x:c r="D60" s="7" t="str">
        <x:v>draft</x:v>
      </x:c>
      <x:c r="E60" s="7" t="str">
        <x:v>memo</x:v>
      </x:c>
      <x:c r="F60" s="7" t="str">
        <x:v>draft</x:v>
      </x:c>
      <x:c r="G60" s="7" t="str">
        <x:v>memo</x:v>
      </x:c>
      <x:c r="H60" s="8" t="n">
        <x:v>1</x:v>
      </x:c>
      <x:c r="I60" s="8" t="n">
        <x:v>1</x:v>
      </x:c>
      <x:c r="J60" s="8" t="n">
        <x:v>1</x:v>
      </x:c>
      <x:c r="K60" s="8" t="n">
        <x:v>0</x:v>
      </x:c>
      <x:c r="L60" s="8" t="n">
        <x:v>1</x:v>
      </x:c>
      <x:c r="M60" s="8" t="n">
        <x:v>0</x:v>
      </x:c>
      <x:c r="N60" s="7" t="str">
        <x:v>priority</x:v>
      </x:c>
      <x:c r="O60" s="7" t="str">
        <x:v>{"status":"draft","module":"memo","title":{"containsAny":["冰箱","除霜"]},"date":null,"priority":null}</x:v>
      </x:c>
      <x:c r="P60" s="7" t="str">
        <x:v>{"status":"draft","reason":null,"draft":{"id":"a1b98f8b-5daa-4ca7-8118-5d30df9bbd07","title":"除霜冰箱","notes":"紧急程度还没定","dueDate":null,"timezone":"Asia/Shanghai","priority":"urgent","dateText":null,"warnings":["date_missing"]},"module":"memo","fields":null}</x:v>
      </x:c>
      <x:c r="Q60" s="7" t="str">
        <x:v>{"intent":"single_task","module":"memo","title":"除霜冰箱","notes":"紧急程度还没定"}</x:v>
      </x:c>
      <x:c r="R60" s="8" t="n">
        <x:v>1</x:v>
      </x:c>
      <x:c r="S60" s="8" t="n">
        <x:v>1</x:v>
      </x:c>
      <x:c r="T60" s="8" t="n">
        <x:v>1</x:v>
      </x:c>
      <x:c r="U60" s="8" t="n">
        <x:v>1</x:v>
      </x:c>
      <x:c r="V60" s="7" t="str">
        <x:v>missing_priority</x:v>
      </x:c>
    </x:row>
    <x:row r="61" ht="88" customHeight="1">
      <x:c r="A61" s="7" t="str">
        <x:v>mh4-memo-zh-14</x:v>
      </x:c>
      <x:c r="B61" s="7" t="str">
        <x:v>memo</x:v>
      </x:c>
      <x:c r="C61" s="7" t="str">
        <x:v>可能周三也可能周五再去配眼镜，先列个任务。</x:v>
      </x:c>
      <x:c r="D61" s="7" t="str">
        <x:v>draft</x:v>
      </x:c>
      <x:c r="E61" s="7" t="str">
        <x:v>memo</x:v>
      </x:c>
      <x:c r="F61" s="7" t="str">
        <x:v>draft</x:v>
      </x:c>
      <x:c r="G61" s="7" t="str">
        <x:v>memo</x:v>
      </x:c>
      <x:c r="H61" s="8" t="n">
        <x:v>1</x:v>
      </x:c>
      <x:c r="I61" s="8" t="n">
        <x:v>1</x:v>
      </x:c>
      <x:c r="J61" s="8" t="n">
        <x:v>1</x:v>
      </x:c>
      <x:c r="K61" s="8" t="n">
        <x:v>1</x:v>
      </x:c>
      <x:c r="L61" s="8" t="n">
        <x:v>1</x:v>
      </x:c>
      <x:c r="M61" s="8" t="n">
        <x:v>1</x:v>
      </x:c>
      <x:c r="N61" s="7" t="str"/>
      <x:c r="O61" s="7" t="str">
        <x:v>{"status":"draft","module":"memo","title":{"containsAny":["眼镜"]},"date":null,"priority":null}</x:v>
      </x:c>
      <x:c r="P61" s="7" t="str">
        <x:v>{"status":"draft","reason":null,"draft":{"id":"bd334957-a078-4da7-8399-8f2c26c763b3","title":"可能周三也可能周五再去配眼镜","notes":"周三或周五","dueDate":null,"timezone":"Asia/Shanghai","priority":null,"dateText":null,"warnings":["date_missing","priority_missing"]},"module":"memo","fields":null}</x:v>
      </x:c>
      <x:c r="Q61" s="7" t="str">
        <x:v>{"intent":"single_task","module":"schedule","title":"配眼镜","notes":"周三或周五","date_text":"周三或周五"}</x:v>
      </x:c>
      <x:c r="R61" s="8" t="n">
        <x:v>1</x:v>
      </x:c>
      <x:c r="S61" s="8" t="n">
        <x:v>0</x:v>
      </x:c>
      <x:c r="T61" s="8" t="n">
        <x:v>1</x:v>
      </x:c>
      <x:c r="U61" s="8" t="n">
        <x:v>1</x:v>
      </x:c>
      <x:c r="V61" s="7" t="str">
        <x:v>conflicting_dates</x:v>
      </x:c>
    </x:row>
    <x:row r="62" ht="88" customHeight="1">
      <x:c r="A62" s="7" t="str">
        <x:v>mh4-schedule-zh-21</x:v>
      </x:c>
      <x:c r="B62" s="7" t="str">
        <x:v>schedule</x:v>
      </x:c>
      <x:c r="C62" s="7" t="str">
        <x:v>今天晚上九点远程答辩，添加到日程。</x:v>
      </x:c>
      <x:c r="D62" s="7" t="str">
        <x:v>draft</x:v>
      </x:c>
      <x:c r="E62" s="7" t="str">
        <x:v>schedule</x:v>
      </x:c>
      <x:c r="F62" s="7" t="str">
        <x:v>draft</x:v>
      </x:c>
      <x:c r="G62" s="7" t="str">
        <x:v>schedule</x:v>
      </x:c>
      <x:c r="H62" s="8" t="n">
        <x:v>1</x:v>
      </x:c>
      <x:c r="I62" s="8" t="n">
        <x:v>2</x:v>
      </x:c>
      <x:c r="J62" s="8" t="n">
        <x:v>2</x:v>
      </x:c>
      <x:c r="K62" s="8" t="n">
        <x:v>0</x:v>
      </x:c>
      <x:c r="L62" s="8" t="n">
        <x:v>1</x:v>
      </x:c>
      <x:c r="M62" s="8" t="n">
        <x:v>0</x:v>
      </x:c>
      <x:c r="N62" s="7" t="str">
        <x:v>time</x:v>
      </x:c>
      <x:c r="O62" s="7" t="str">
        <x:v>{"status":"draft","module":"schedule","title":{"containsAny":["答辩"]},"date":"2026-10-07","time":"21:00"}</x:v>
      </x:c>
      <x:c r="P62" s="7" t="str">
        <x:v>{"status":"draft","reason":null,"module":"schedule","draft":null,"fields":{"id":"4ae4c4f5-2012-415b-9587-b1caef17cee2","title":"答辩","notes":"","date":"2026-10-07","time":null,"amount":null,"kind":null,"category":null,"account":null,"timezone":"Asia/Shanghai"}}</x:v>
      </x:c>
      <x:c r="Q62" s="7" t="str">
        <x:v>{"intent":"single_task","module":"schedule","title":"答辩","notes":"","date_text":"今天晚上","time_text":"九点"}</x:v>
      </x:c>
      <x:c r="R62" s="8" t="n">
        <x:v>1</x:v>
      </x:c>
      <x:c r="S62" s="8" t="n">
        <x:v>1</x:v>
      </x:c>
      <x:c r="T62" s="8" t="n">
        <x:v>1</x:v>
      </x:c>
      <x:c r="U62" s="8" t="n">
        <x:v>1</x:v>
      </x:c>
      <x:c r="V62" s="7" t="str">
        <x:v>timezone_boundary</x:v>
      </x:c>
    </x:row>
    <x:row r="63" ht="88" customHeight="1">
      <x:c r="A63" s="7" t="str">
        <x:v>mh4-health-zh-28</x:v>
      </x:c>
      <x:c r="B63" s="7" t="str">
        <x:v>health</x:v>
      </x:c>
      <x:c r="C63" s="7" t="str">
        <x:v>给我诊断一下这两天为什么头疼。</x:v>
      </x:c>
      <x:c r="D63" s="7" t="str">
        <x:v>clarification</x:v>
      </x:c>
      <x:c r="E63" s="7" t="str"/>
      <x:c r="F63" s="7" t="str">
        <x:v>clarification</x:v>
      </x:c>
      <x:c r="G63" s="7" t="str"/>
      <x:c r="H63" s="8" t="n">
        <x:v>1</x:v>
      </x:c>
      <x:c r="I63" s="8" t="n">
        <x:v>0</x:v>
      </x:c>
      <x:c r="J63" s="8" t="n">
        <x:v>0</x:v>
      </x:c>
      <x:c r="K63" s="8" t="n">
        <x:v>1</x:v>
      </x:c>
      <x:c r="L63" s="8" t="n">
        <x:v>0</x:v>
      </x:c>
      <x:c r="M63" s="8" t="n">
        <x:v>0</x:v>
      </x:c>
      <x:c r="N63" s="7" t="str"/>
      <x:c r="O63" s="7" t="str">
        <x:v>{"status":"clarification","module":null}</x:v>
      </x:c>
      <x:c r="P63" s="7" t="str">
        <x:v>{"status":"clarification","reason":"health_unsupported","module":null,"draft":null,"fields":null}</x:v>
      </x:c>
      <x:c r="Q63" s="7" t="str">
        <x:v>{"intent":"single_task","module":"health","title":"头疼","notes":"这两天","date_text":"这两天","time_text":"无"}</x:v>
      </x:c>
      <x:c r="R63" s="8" t="n">
        <x:v>1</x:v>
      </x:c>
      <x:c r="S63" s="8" t="n">
        <x:v>0</x:v>
      </x:c>
      <x:c r="T63" s="8" t="n">
        <x:v>0</x:v>
      </x:c>
      <x:c r="U63" s="8" t="n">
        <x:v>0</x:v>
      </x:c>
      <x:c r="V63" s="7" t="str">
        <x:v>unsupported_advice</x:v>
      </x:c>
    </x:row>
    <x:row r="64" ht="88" customHeight="1">
      <x:c r="A64" s="7" t="str">
        <x:v>mh4-memo-zh-24</x:v>
      </x:c>
      <x:c r="B64" s="7" t="str">
        <x:v>memo</x:v>
      </x:c>
      <x:c r="C64" s="7" t="str">
        <x:v>计划做一个每月开销表，先建待办，别创建财务记录。</x:v>
      </x:c>
      <x:c r="D64" s="7" t="str">
        <x:v>draft</x:v>
      </x:c>
      <x:c r="E64" s="7" t="str">
        <x:v>memo</x:v>
      </x:c>
      <x:c r="F64" s="7" t="str">
        <x:v>draft</x:v>
      </x:c>
      <x:c r="G64" s="7" t="str">
        <x:v>memo</x:v>
      </x:c>
      <x:c r="H64" s="8" t="n">
        <x:v>1</x:v>
      </x:c>
      <x:c r="I64" s="8" t="n">
        <x:v>1</x:v>
      </x:c>
      <x:c r="J64" s="8" t="n">
        <x:v>1</x:v>
      </x:c>
      <x:c r="K64" s="8" t="n">
        <x:v>1</x:v>
      </x:c>
      <x:c r="L64" s="8" t="n">
        <x:v>1</x:v>
      </x:c>
      <x:c r="M64" s="8" t="n">
        <x:v>1</x:v>
      </x:c>
      <x:c r="N64" s="7" t="str"/>
      <x:c r="O64" s="7" t="str">
        <x:v>{"status":"draft","module":"memo","title":{"containsAny":["开销表"]},"date":null,"priority":null}</x:v>
      </x:c>
      <x:c r="P64" s="7" t="str">
        <x:v>{"status":"draft","reason":null,"draft":{"id":"1c633ba8-eafe-4388-a290-4b25fe900856","title":"每月开销表","notes":"先建待办","dueDate":null,"timezone":"Asia/Shanghai","priority":null,"dateText":null,"warnings":["date_missing","priority_missing"]},"module":"memo","fields":null}</x:v>
      </x:c>
      <x:c r="Q64" s="7" t="str">
        <x:v>{"intent":"single_task","module":"memo","title":"每月开销表","notes":"先建待办","date_text":"null","time_text":"null","priority":"low/normal"}</x:v>
      </x:c>
      <x:c r="R64" s="8" t="n">
        <x:v>1</x:v>
      </x:c>
      <x:c r="S64" s="8" t="n">
        <x:v>1</x:v>
      </x:c>
      <x:c r="T64" s="8" t="n">
        <x:v>1</x:v>
      </x:c>
      <x:c r="U64" s="8" t="n">
        <x:v>1</x:v>
      </x:c>
      <x:c r="V64" s="7" t="str">
        <x:v>cross_module</x:v>
      </x:c>
    </x:row>
    <x:row r="65" ht="88" customHeight="1">
      <x:c r="A65" s="7" t="str">
        <x:v>mh4-finance-zh-15</x:v>
      </x:c>
      <x:c r="B65" s="7" t="str">
        <x:v>finance</x:v>
      </x:c>
      <x:c r="C65" s="7" t="str">
        <x:v>今天买面包，支出金额-8元，用支付宝。</x:v>
      </x:c>
      <x:c r="D65" s="7" t="str">
        <x:v>draft</x:v>
      </x:c>
      <x:c r="E65" s="7" t="str">
        <x:v>finance</x:v>
      </x:c>
      <x:c r="F65" s="7" t="str">
        <x:v>draft</x:v>
      </x:c>
      <x:c r="G65" s="7" t="str">
        <x:v>finance</x:v>
      </x:c>
      <x:c r="H65" s="8" t="n">
        <x:v>1</x:v>
      </x:c>
      <x:c r="I65" s="8" t="n">
        <x:v>6</x:v>
      </x:c>
      <x:c r="J65" s="8" t="n">
        <x:v>6</x:v>
      </x:c>
      <x:c r="K65" s="8" t="n">
        <x:v>1</x:v>
      </x:c>
      <x:c r="L65" s="8" t="n">
        <x:v>1</x:v>
      </x:c>
      <x:c r="M65" s="8" t="n">
        <x:v>1</x:v>
      </x:c>
      <x:c r="N65" s="7" t="str"/>
      <x:c r="O65" s="7" t="str">
        <x:v>{"status":"draft","module":"finance","title":{"containsAny":["面包"]},"amount":null,"kind":"expense","category":"Food &amp; Drinks","account":"Alipay","date":"2026-10-06"}</x:v>
      </x:c>
      <x:c r="P65" s="7" t="str">
        <x:v>{"status":"draft","reason":null,"module":"finance","draft":null,"fields":{"id":"7fffcb26-65fd-47f4-ad97-954f7f5a80e9","title":"买面包","notes":"","date":"2026-10-06","time":null,"amount":null,"kind":"expense","category":"Food &amp; Drinks","account":"Alipay","timezone":"Asia/Shanghai"}}</x:v>
      </x:c>
      <x:c r="Q65" s="7" t="str">
        <x:v>{"intent":"single_task","module":"finance","title":"买面包","notes":"","date_text":"今天","amount":"8","kind":"expense","category":"Shopping","account":"Alipay"}</x:v>
      </x:c>
      <x:c r="R65" s="8" t="n">
        <x:v>1</x:v>
      </x:c>
      <x:c r="S65" s="8" t="n">
        <x:v>1</x:v>
      </x:c>
      <x:c r="T65" s="8" t="n">
        <x:v>1</x:v>
      </x:c>
      <x:c r="U65" s="8" t="n">
        <x:v>1</x:v>
      </x:c>
      <x:c r="V65" s="7" t="str">
        <x:v>invalid_negative</x:v>
      </x:c>
    </x:row>
    <x:row r="66" ht="88" customHeight="1">
      <x:c r="A66" s="7" t="str">
        <x:v>mh4-schedule-zh-09</x:v>
      </x:c>
      <x:c r="B66" s="7" t="str">
        <x:v>schedule</x:v>
      </x:c>
      <x:c r="C66" s="7" t="str">
        <x:v>先占个位，搬家交接，哪天有空再定。</x:v>
      </x:c>
      <x:c r="D66" s="7" t="str">
        <x:v>draft</x:v>
      </x:c>
      <x:c r="E66" s="7" t="str">
        <x:v>schedule</x:v>
      </x:c>
      <x:c r="F66" s="7" t="str">
        <x:v>draft</x:v>
      </x:c>
      <x:c r="G66" s="7" t="str">
        <x:v>schedule</x:v>
      </x:c>
      <x:c r="H66" s="8" t="n">
        <x:v>1</x:v>
      </x:c>
      <x:c r="I66" s="8" t="n">
        <x:v>2</x:v>
      </x:c>
      <x:c r="J66" s="8" t="n">
        <x:v>2</x:v>
      </x:c>
      <x:c r="K66" s="8" t="n">
        <x:v>1</x:v>
      </x:c>
      <x:c r="L66" s="8" t="n">
        <x:v>1</x:v>
      </x:c>
      <x:c r="M66" s="8" t="n">
        <x:v>1</x:v>
      </x:c>
      <x:c r="N66" s="7" t="str"/>
      <x:c r="O66" s="7" t="str">
        <x:v>{"status":"draft","module":"schedule","title":{"containsAny":["搬家","交接"]},"date":null,"time":null}</x:v>
      </x:c>
      <x:c r="P66" s="7" t="str">
        <x:v>{"status":"draft","reason":null,"module":"schedule","draft":null,"fields":{"id":"63c3f944-d32e-40e4-a5f8-4623eb03fb33","title":"搬家交接","notes":"哪天有空再定","date":null,"time":null,"amount":null,"kind":null,"category":null,"account":null,"timezone":"Asia/Shanghai"}}</x:v>
      </x:c>
      <x:c r="Q66" s="7" t="str">
        <x:v>{"intent":"single_task","module":"schedule","title":"搬家交接","notes":"哪天有空再定"}</x:v>
      </x:c>
      <x:c r="R66" s="8" t="n">
        <x:v>1</x:v>
      </x:c>
      <x:c r="S66" s="8" t="n">
        <x:v>1</x:v>
      </x:c>
      <x:c r="T66" s="8" t="n">
        <x:v>1</x:v>
      </x:c>
      <x:c r="U66" s="8" t="n">
        <x:v>1</x:v>
      </x:c>
      <x:c r="V66" s="7" t="str">
        <x:v>vague_date</x:v>
      </x:c>
    </x:row>
    <x:row r="67" ht="88" customHeight="1">
      <x:c r="A67" s="7" t="str">
        <x:v>mh4-finance-zh-20</x:v>
      </x:c>
      <x:c r="B67" s="7" t="str">
        <x:v>finance</x:v>
      </x:c>
      <x:c r="C67" s="7" t="str">
        <x:v>昨天还是前天吃面付了19元现金，日期记混了。</x:v>
      </x:c>
      <x:c r="D67" s="7" t="str">
        <x:v>draft</x:v>
      </x:c>
      <x:c r="E67" s="7" t="str">
        <x:v>finance</x:v>
      </x:c>
      <x:c r="F67" s="7" t="str">
        <x:v>draft</x:v>
      </x:c>
      <x:c r="G67" s="7" t="str">
        <x:v>finance</x:v>
      </x:c>
      <x:c r="H67" s="8" t="n">
        <x:v>1</x:v>
      </x:c>
      <x:c r="I67" s="8" t="n">
        <x:v>5</x:v>
      </x:c>
      <x:c r="J67" s="8" t="n">
        <x:v>6</x:v>
      </x:c>
      <x:c r="K67" s="8" t="n">
        <x:v>0</x:v>
      </x:c>
      <x:c r="L67" s="8" t="n">
        <x:v>1</x:v>
      </x:c>
      <x:c r="M67" s="8" t="n">
        <x:v>0</x:v>
      </x:c>
      <x:c r="N67" s="7" t="str">
        <x:v>date</x:v>
      </x:c>
      <x:c r="O67" s="7" t="str">
        <x:v>{"status":"draft","module":"finance","title":{"containsAny":["面"]},"amount":"19","kind":"expense","category":"Food &amp; Drinks","account":"Cash","date":null}</x:v>
      </x:c>
      <x:c r="P67" s="7" t="str">
        <x:v>{"status":"draft","reason":null,"module":"finance","draft":null,"fields":{"id":"22d39a31-e166-4ecf-9fc3-001278b3b1b9","title":"面","notes":"19元","date":"2026-10-05","time":null,"amount":"19","kind":"expense","category":"Food &amp; Drinks","account":"Cash","timezone":"Asia/Shanghai"}}</x:v>
      </x:c>
      <x:c r="Q67" s="7" t="str">
        <x:v>{"intent":"single_task","module":"finance","title":"面","notes":"19元","date_text":"前天","amount":"19","kind":"expense","category":"Food &amp; Drinks","account":"Cash"}</x:v>
      </x:c>
      <x:c r="R67" s="8" t="n">
        <x:v>1</x:v>
      </x:c>
      <x:c r="S67" s="8" t="n">
        <x:v>1</x:v>
      </x:c>
      <x:c r="T67" s="8" t="n">
        <x:v>1</x:v>
      </x:c>
      <x:c r="U67" s="8" t="n">
        <x:v>0</x:v>
      </x:c>
      <x:c r="V67" s="7" t="str">
        <x:v>uncertain_date</x:v>
      </x:c>
    </x:row>
    <x:row r="68" ht="88" customHeight="1">
      <x:c r="A68" s="7" t="str">
        <x:v>mh4-memo-zh-27</x:v>
      </x:c>
      <x:c r="B68" s="7" t="str">
        <x:v>memo</x:v>
      </x:c>
      <x:c r="C68" s="7" t="str">
        <x:v>帮我加一个整理书架的待办，然后再记今天购买书架花了90元。</x:v>
      </x:c>
      <x:c r="D68" s="7" t="str">
        <x:v>clarification</x:v>
      </x:c>
      <x:c r="E68" s="7" t="str"/>
      <x:c r="F68" s="7" t="str"/>
      <x:c r="G68" s="7" t="str"/>
      <x:c r="H68" s="8" t="n">
        <x:v>0</x:v>
      </x:c>
      <x:c r="I68" s="8" t="n">
        <x:v>0</x:v>
      </x:c>
      <x:c r="J68" s="8" t="n">
        <x:v>0</x:v>
      </x:c>
      <x:c r="K68" s="8" t="n">
        <x:v>0</x:v>
      </x:c>
      <x:c r="L68" s="8" t="n">
        <x:v>0</x:v>
      </x:c>
      <x:c r="M68" s="8" t="n">
        <x:v>0</x:v>
      </x:c>
      <x:c r="N68" s="7" t="str">
        <x:v>ValueError</x:v>
      </x:c>
      <x:c r="O68" s="7" t="str">
        <x:v>{"status":"clarification","module":null}</x:v>
      </x:c>
      <x:c r="P68" s="7" t="str">
        <x:v>{}</x:v>
      </x:c>
      <x:c r="Q68" s="7" t="str">
        <x:v>{"intent":"single_task","module":"memo","title":"整理书架","notes":"整理书架","date_text":"today","priority":"normal"} {"intent":"single_task","module":"finance","title":"购买书架","notes":"购买书架","date_text":"today","amount":"90","kind":"expense","category":"Shopping","account":"Cash"}</x:v>
      </x:c>
      <x:c r="R68" s="8" t="n">
        <x:v>1</x:v>
      </x:c>
      <x:c r="S68" s="8" t="n">
        <x:v>0</x:v>
      </x:c>
      <x:c r="T68" s="8" t="n">
        <x:v>0</x:v>
      </x:c>
      <x:c r="U68" s="8" t="n">
        <x:v>0</x:v>
      </x:c>
      <x:c r="V68" s="7" t="str">
        <x:v>multiple_actions</x:v>
      </x:c>
    </x:row>
    <x:row r="69" ht="88" customHeight="1">
      <x:c r="A69" s="7" t="str">
        <x:v>mh4-health-zh-29</x:v>
      </x:c>
      <x:c r="B69" s="7" t="str">
        <x:v>health</x:v>
      </x:c>
      <x:c r="C69" s="7" t="str">
        <x:v>给Health加个每天走一万步的目标。</x:v>
      </x:c>
      <x:c r="D69" s="7" t="str">
        <x:v>clarification</x:v>
      </x:c>
      <x:c r="E69" s="7" t="str"/>
      <x:c r="F69" s="7" t="str">
        <x:v>clarification</x:v>
      </x:c>
      <x:c r="G69" s="7" t="str"/>
      <x:c r="H69" s="8" t="n">
        <x:v>1</x:v>
      </x:c>
      <x:c r="I69" s="8" t="n">
        <x:v>0</x:v>
      </x:c>
      <x:c r="J69" s="8" t="n">
        <x:v>0</x:v>
      </x:c>
      <x:c r="K69" s="8" t="n">
        <x:v>1</x:v>
      </x:c>
      <x:c r="L69" s="8" t="n">
        <x:v>0</x:v>
      </x:c>
      <x:c r="M69" s="8" t="n">
        <x:v>0</x:v>
      </x:c>
      <x:c r="N69" s="7" t="str"/>
      <x:c r="O69" s="7" t="str">
        <x:v>{"status":"clarification","module":null}</x:v>
      </x:c>
      <x:c r="P69" s="7" t="str">
        <x:v>{"status":"clarification","reason":"health_unsupported","module":null,"draft":null,"fields":null}</x:v>
      </x:c>
      <x:c r="Q69" s="7" t="str">
        <x:v>{"intent":"single_task","module":"health","title":"每天走一万步","notes":"","priority":"high"}</x:v>
      </x:c>
      <x:c r="R69" s="8" t="n">
        <x:v>1</x:v>
      </x:c>
      <x:c r="S69" s="8" t="n">
        <x:v>0</x:v>
      </x:c>
      <x:c r="T69" s="8" t="n">
        <x:v>0</x:v>
      </x:c>
      <x:c r="U69" s="8" t="n">
        <x:v>0</x:v>
      </x:c>
      <x:c r="V69" s="7" t="str">
        <x:v>unsupported_goal</x:v>
      </x:c>
    </x:row>
    <x:row r="70" ht="88" customHeight="1">
      <x:c r="A70" s="7" t="str">
        <x:v>mh4-health-zh-11</x:v>
      </x:c>
      <x:c r="B70" s="7" t="str">
        <x:v>health</x:v>
      </x:c>
      <x:c r="C70" s="7" t="str">
        <x:v>健康页面打开一下，我自己看。</x:v>
      </x:c>
      <x:c r="D70" s="7" t="str">
        <x:v>draft</x:v>
      </x:c>
      <x:c r="E70" s="7" t="str">
        <x:v>health</x:v>
      </x:c>
      <x:c r="F70" s="7" t="str">
        <x:v>clarification</x:v>
      </x:c>
      <x:c r="G70" s="7" t="str"/>
      <x:c r="H70" s="8" t="n">
        <x:v>0</x:v>
      </x:c>
      <x:c r="I70" s="8" t="n">
        <x:v>0</x:v>
      </x:c>
      <x:c r="J70" s="8" t="n">
        <x:v>0</x:v>
      </x:c>
      <x:c r="K70" s="8" t="n">
        <x:v>0</x:v>
      </x:c>
      <x:c r="L70" s="8" t="n">
        <x:v>1</x:v>
      </x:c>
      <x:c r="M70" s="8" t="n">
        <x:v>0</x:v>
      </x:c>
      <x:c r="N70" s="7" t="str">
        <x:v>status, module</x:v>
      </x:c>
      <x:c r="O70" s="7" t="str">
        <x:v>{"status":"draft","module":"health"}</x:v>
      </x:c>
      <x:c r="P70" s="7" t="str">
        <x:v>{"status":"clarification","reason":"health_unsupported","module":null,"draft":null,"fields":null}</x:v>
      </x:c>
      <x:c r="Q70" s="7" t="str">
        <x:v>{"intent":"single_task","module":"health","title":"查看健康页面","notes":""}</x:v>
      </x:c>
      <x:c r="R70" s="8" t="n">
        <x:v>1</x:v>
      </x:c>
      <x:c r="S70" s="8" t="n">
        <x:v>1</x:v>
      </x:c>
      <x:c r="T70" s="8" t="n">
        <x:v>0</x:v>
      </x:c>
      <x:c r="U70" s="8" t="n">
        <x:v>0</x:v>
      </x:c>
      <x:c r="V70" s="7" t="str">
        <x:v>open_page</x:v>
      </x:c>
    </x:row>
    <x:row r="71" ht="88" customHeight="1">
      <x:c r="A71" s="7" t="str">
        <x:v>mh4-schedule-zh-17</x:v>
      </x:c>
      <x:c r="B71" s="7" t="str">
        <x:v>schedule</x:v>
      </x:c>
      <x:c r="C71" s="7" t="str">
        <x:v>周日22:15跟Zoë视频聊留学申请🌍，记为日程。</x:v>
      </x:c>
      <x:c r="D71" s="7" t="str">
        <x:v>draft</x:v>
      </x:c>
      <x:c r="E71" s="7" t="str">
        <x:v>schedule</x:v>
      </x:c>
      <x:c r="F71" s="7" t="str">
        <x:v>draft</x:v>
      </x:c>
      <x:c r="G71" s="7" t="str">
        <x:v>schedule</x:v>
      </x:c>
      <x:c r="H71" s="8" t="n">
        <x:v>1</x:v>
      </x:c>
      <x:c r="I71" s="8" t="n">
        <x:v>1</x:v>
      </x:c>
      <x:c r="J71" s="8" t="n">
        <x:v>2</x:v>
      </x:c>
      <x:c r="K71" s="8" t="n">
        <x:v>0</x:v>
      </x:c>
      <x:c r="L71" s="8" t="n">
        <x:v>1</x:v>
      </x:c>
      <x:c r="M71" s="8" t="n">
        <x:v>0</x:v>
      </x:c>
      <x:c r="N71" s="7" t="str">
        <x:v>date</x:v>
      </x:c>
      <x:c r="O71" s="7" t="str">
        <x:v>{"status":"draft","module":"schedule","title":{"containsAny":["Zoë","留学"]},"date":"2026-10-11","time":"22:15"}</x:v>
      </x:c>
      <x:c r="P71" s="7" t="str">
        <x:v>{"status":"draft","reason":null,"module":"schedule","draft":null,"fields":{"id":"f44bcbaf-db95-472d-aeac-a47d4444deff","title":"视频聊留学申请","notes":"周日22:15","date":null,"time":"22:15","amount":null,"kind":null,"category":null,"account":null,"timezone":"Asia/Shanghai"}}</x:v>
      </x:c>
      <x:c r="Q71" s="7" t="str">
        <x:v>{"intent":"single_task","module":"schedule","title":"视频聊留学申请","notes":"周日22:15","date_text":"周日","time_text":"22:15"}</x:v>
      </x:c>
      <x:c r="R71" s="8" t="n">
        <x:v>1</x:v>
      </x:c>
      <x:c r="S71" s="8" t="n">
        <x:v>1</x:v>
      </x:c>
      <x:c r="T71" s="8" t="n">
        <x:v>1</x:v>
      </x:c>
      <x:c r="U71" s="8" t="n">
        <x:v>0</x:v>
      </x:c>
      <x:c r="V71" s="7" t="str">
        <x:v>unicode</x:v>
      </x:c>
    </x:row>
    <x:row r="72" ht="88" customHeight="1">
      <x:c r="A72" s="7" t="str">
        <x:v>mh4-memo-zh-19</x:v>
      </x:c>
      <x:c r="B72" s="7" t="str">
        <x:v>memo</x:v>
      </x:c>
      <x:c r="C72" s="7" t="str">
        <x:v>今天备份猫咪视频🐈，放进待办，低优先级。</x:v>
      </x:c>
      <x:c r="D72" s="7" t="str">
        <x:v>draft</x:v>
      </x:c>
      <x:c r="E72" s="7" t="str">
        <x:v>memo</x:v>
      </x:c>
      <x:c r="F72" s="7" t="str">
        <x:v>draft</x:v>
      </x:c>
      <x:c r="G72" s="7" t="str">
        <x:v>memo</x:v>
      </x:c>
      <x:c r="H72" s="8" t="n">
        <x:v>1</x:v>
      </x:c>
      <x:c r="I72" s="8" t="n">
        <x:v>1</x:v>
      </x:c>
      <x:c r="J72" s="8" t="n">
        <x:v>1</x:v>
      </x:c>
      <x:c r="K72" s="8" t="n">
        <x:v>1</x:v>
      </x:c>
      <x:c r="L72" s="8" t="n">
        <x:v>1</x:v>
      </x:c>
      <x:c r="M72" s="8" t="n">
        <x:v>1</x:v>
      </x:c>
      <x:c r="N72" s="7" t="str"/>
      <x:c r="O72" s="7" t="str">
        <x:v>{"status":"draft","module":"memo","title":{"containsAny":["猫","视频"]},"date":"2026-10-06","priority":"normal"}</x:v>
      </x:c>
      <x:c r="P72" s="7" t="str">
        <x:v>{"status":"draft","reason":null,"draft":{"id":"019af435-5e80-45da-9ac9-13615fcc286d","title":"备份猫咪视频","notes":"放进待办","dueDate":"2026-10-06","timezone":"Asia/Shanghai","priority":"normal","dateText":"今天","warnings":[]},"module":"memo","fields":null}</x:v>
      </x:c>
      <x:c r="Q72" s="7" t="str">
        <x:v>{"intent":"single_task","module":"memo","title":"备份猫咪视频","notes":"放进待办","date_text":"今天","priority":"low"}</x:v>
      </x:c>
      <x:c r="R72" s="8" t="n">
        <x:v>1</x:v>
      </x:c>
      <x:c r="S72" s="8" t="n">
        <x:v>1</x:v>
      </x:c>
      <x:c r="T72" s="8" t="n">
        <x:v>1</x:v>
      </x:c>
      <x:c r="U72" s="8" t="n">
        <x:v>1</x:v>
      </x:c>
      <x:c r="V72" s="7" t="str">
        <x:v>unicode</x:v>
      </x:c>
    </x:row>
    <x:row r="73" ht="88" customHeight="1">
      <x:c r="A73" s="7" t="str">
        <x:v>mh4-finance-zh-18</x:v>
      </x:c>
      <x:c r="B73" s="7" t="str">
        <x:v>finance</x:v>
      </x:c>
      <x:c r="C73" s="7" t="str">
        <x:v>公交车费是3还是4元来着？今天付的现金。</x:v>
      </x:c>
      <x:c r="D73" s="7" t="str">
        <x:v>draft</x:v>
      </x:c>
      <x:c r="E73" s="7" t="str">
        <x:v>finance</x:v>
      </x:c>
      <x:c r="F73" s="7" t="str">
        <x:v>draft</x:v>
      </x:c>
      <x:c r="G73" s="7" t="str">
        <x:v>finance</x:v>
      </x:c>
      <x:c r="H73" s="8" t="n">
        <x:v>1</x:v>
      </x:c>
      <x:c r="I73" s="8" t="n">
        <x:v>6</x:v>
      </x:c>
      <x:c r="J73" s="8" t="n">
        <x:v>6</x:v>
      </x:c>
      <x:c r="K73" s="8" t="n">
        <x:v>1</x:v>
      </x:c>
      <x:c r="L73" s="8" t="n">
        <x:v>1</x:v>
      </x:c>
      <x:c r="M73" s="8" t="n">
        <x:v>1</x:v>
      </x:c>
      <x:c r="N73" s="7" t="str"/>
      <x:c r="O73" s="7" t="str">
        <x:v>{"status":"draft","module":"finance","title":{"containsAny":["公交"]},"amount":null,"kind":"expense","category":"Transport","account":"Cash","date":"2026-10-06"}</x:v>
      </x:c>
      <x:c r="P73" s="7" t="str">
        <x:v>{"status":"draft","reason":null,"module":"finance","draft":null,"fields":{"id":"c21f929e-c71e-4e91-800e-86a08e7b4bea","title":"公交费","notes":"3元","date":"2026-10-06","time":null,"amount":null,"kind":"expense","category":"Transport","account":"Cash","timezone":"Asia/Shanghai"}}</x:v>
      </x:c>
      <x:c r="Q73" s="7" t="str">
        <x:v>{"intent":"single_task","module":"finance","title":"公交费","notes":"3元","date_text":"今天","amount":"3","kind":"expense","category":"Transport","account":"Cash"}</x:v>
      </x:c>
      <x:c r="R73" s="8" t="n">
        <x:v>1</x:v>
      </x:c>
      <x:c r="S73" s="8" t="n">
        <x:v>1</x:v>
      </x:c>
      <x:c r="T73" s="8" t="n">
        <x:v>1</x:v>
      </x:c>
      <x:c r="U73" s="8" t="n">
        <x:v>1</x:v>
      </x:c>
      <x:c r="V73" s="7" t="str">
        <x:v>uncertain_amount</x:v>
      </x:c>
    </x:row>
    <x:row r="74" ht="88" customHeight="1">
      <x:c r="A74" s="7" t="str">
        <x:v>mh4-memo-zh-29</x:v>
      </x:c>
      <x:c r="B74" s="7" t="str">
        <x:v>memo</x:v>
      </x:c>
      <x:c r="C74" s="7" t="str">
        <x:v>直接给李师傅发短信，说我晚到十分钟。</x:v>
      </x:c>
      <x:c r="D74" s="7" t="str">
        <x:v>clarification</x:v>
      </x:c>
      <x:c r="E74" s="7" t="str"/>
      <x:c r="F74" s="7" t="str">
        <x:v>draft</x:v>
      </x:c>
      <x:c r="G74" s="7" t="str">
        <x:v>schedule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8" t="n">
        <x:v>0</x:v>
      </x:c>
      <x:c r="M74" s="8" t="n">
        <x:v>0</x:v>
      </x:c>
      <x:c r="N74" s="7" t="str">
        <x:v>status, module</x:v>
      </x:c>
      <x:c r="O74" s="7" t="str">
        <x:v>{"status":"clarification","module":null}</x:v>
      </x:c>
      <x:c r="P74" s="7" t="str">
        <x:v>{"status":"draft","reason":null,"module":"schedule","draft":null,"fields":{"id":"b9a901db-1bf1-4e4b-8dfc-a25c97a6c182","title":"发短信","notes":"晚到十分钟","date":null,"time":null,"amount":null,"kind":null,"category":null,"account":null,"timezone":"Asia/Shanghai"}}</x:v>
      </x:c>
      <x:c r="Q74" s="7" t="str">
        <x:v>{"intent":"single_task","module":"schedule","title":"发短信","notes":"晚到十分钟","date_text":"null","time_text":"null"}</x:v>
      </x:c>
      <x:c r="R74" s="8" t="n">
        <x:v>1</x:v>
      </x:c>
      <x:c r="S74" s="8" t="n">
        <x:v>0</x:v>
      </x:c>
      <x:c r="T74" s="8" t="n">
        <x:v>0</x:v>
      </x:c>
      <x:c r="U74" s="8" t="n">
        <x:v>0</x:v>
      </x:c>
      <x:c r="V74" s="7" t="str">
        <x:v>external_action</x:v>
      </x:c>
    </x:row>
    <x:row r="75" ht="88" customHeight="1">
      <x:c r="A75" s="7" t="str">
        <x:v>mh4-memo-zh-12</x:v>
      </x:c>
      <x:c r="B75" s="7" t="str">
        <x:v>memo</x:v>
      </x:c>
      <x:c r="C75" s="7" t="str">
        <x:v>截止2026-12-19，把老家地址寄给快递员。</x:v>
      </x:c>
      <x:c r="D75" s="7" t="str">
        <x:v>draft</x:v>
      </x:c>
      <x:c r="E75" s="7" t="str">
        <x:v>memo</x:v>
      </x:c>
      <x:c r="F75" s="7" t="str">
        <x:v>draft</x:v>
      </x:c>
      <x:c r="G75" s="7" t="str">
        <x:v>schedule</x:v>
      </x:c>
      <x:c r="H75" s="8" t="n">
        <x:v>0</x:v>
      </x:c>
      <x:c r="I75" s="8" t="n">
        <x:v>0</x:v>
      </x:c>
      <x:c r="J75" s="8" t="n">
        <x:v>1</x:v>
      </x:c>
      <x:c r="K75" s="8" t="n">
        <x:v>0</x:v>
      </x:c>
      <x:c r="L75" s="8" t="n">
        <x:v>1</x:v>
      </x:c>
      <x:c r="M75" s="8" t="n">
        <x:v>0</x:v>
      </x:c>
      <x:c r="N75" s="7" t="str">
        <x:v>module, title, priority</x:v>
      </x:c>
      <x:c r="O75" s="7" t="str">
        <x:v>{"status":"draft","module":"memo","title":{"containsAny":["地址"]},"date":"2026-12-19","priority":null}</x:v>
      </x:c>
      <x:c r="P75" s="7" t="str">
        <x:v>{"status":"draft","reason":null,"module":"schedule","draft":null,"fields":{"id":"dcecebdd-177f-4842-b7df-9fb874e570c4","title":"寄给快递员","notes":"老家地址","date":"2026-12-19","time":null,"amount":null,"kind":null,"category":null,"account":null,"timezone":"Asia/Shanghai"}}</x:v>
      </x:c>
      <x:c r="Q75" s="7" t="str">
        <x:v>{"intent":"single_task","module":"schedule","title":"寄给快递员","notes":"老家地址","date_text":"2026-12-19"}</x:v>
      </x:c>
      <x:c r="R75" s="8" t="n">
        <x:v>1</x:v>
      </x:c>
      <x:c r="S75" s="8" t="n">
        <x:v>0</x:v>
      </x:c>
      <x:c r="T75" s="8" t="n">
        <x:v>1</x:v>
      </x:c>
      <x:c r="U75" s="8" t="n">
        <x:v>1</x:v>
      </x:c>
      <x:c r="V75" s="7" t="str">
        <x:v>absolute_date</x:v>
      </x:c>
    </x:row>
    <x:row r="76" ht="88" customHeight="1">
      <x:c r="A76" s="7" t="str">
        <x:v>mh4-schedule-zh-22</x:v>
      </x:c>
      <x:c r="B76" s="7" t="str">
        <x:v>schedule</x:v>
      </x:c>
      <x:c r="C76" s="7" t="str">
        <x:v>我选的是日程：明天下午3点核对购物清单。</x:v>
      </x:c>
      <x:c r="D76" s="7" t="str">
        <x:v>draft</x:v>
      </x:c>
      <x:c r="E76" s="7" t="str">
        <x:v>schedule</x:v>
      </x:c>
      <x:c r="F76" s="7" t="str">
        <x:v>draft</x:v>
      </x:c>
      <x:c r="G76" s="7" t="str">
        <x:v>schedule</x:v>
      </x:c>
      <x:c r="H76" s="8" t="n">
        <x:v>1</x:v>
      </x:c>
      <x:c r="I76" s="8" t="n">
        <x:v>2</x:v>
      </x:c>
      <x:c r="J76" s="8" t="n">
        <x:v>2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{"status":"draft","module":"schedule","title":{"containsAny":["购物","清单"]},"date":"2026-10-07","time":"15:00"}</x:v>
      </x:c>
      <x:c r="P76" s="7" t="str">
        <x:v>{"status":"draft","reason":null,"module":"schedule","draft":null,"fields":{"id":"b42622b7-bdda-42f4-a82b-68e923f4e757","title":"核对购物清单","notes":"","date":"2026-10-07","time":"15:00","amount":null,"kind":null,"category":null,"account":null,"timezone":"Asia/Shanghai"}}</x:v>
      </x:c>
      <x:c r="Q76" s="7" t="str">
        <x:v>{"intent":"single_task","module":"schedule","title":"核对购物清单","notes":"","date_text":"明天","time_text":"下午3点"}</x:v>
      </x:c>
      <x:c r="R76" s="8" t="n">
        <x:v>1</x:v>
      </x:c>
      <x:c r="S76" s="8" t="n">
        <x:v>1</x:v>
      </x:c>
      <x:c r="T76" s="8" t="n">
        <x:v>1</x:v>
      </x:c>
      <x:c r="U76" s="8" t="n">
        <x:v>1</x:v>
      </x:c>
      <x:c r="V76" s="7" t="str">
        <x:v>module_override</x:v>
      </x:c>
    </x:row>
    <x:row r="77" ht="88" customHeight="1">
      <x:c r="A77" s="7" t="str">
        <x:v>mh4-schedule-zh-26</x:v>
      </x:c>
      <x:c r="B77" s="7" t="str">
        <x:v>schedule</x:v>
      </x:c>
      <x:c r="C77" s="7" t="str">
        <x:v>把原定周四的驾校课挪到周五。</x:v>
      </x:c>
      <x:c r="D77" s="7" t="str">
        <x:v>clarification</x:v>
      </x:c>
      <x:c r="E77" s="7" t="str"/>
      <x:c r="F77" s="7" t="str">
        <x:v>draft</x:v>
      </x:c>
      <x:c r="G77" s="7" t="str">
        <x:v>schedule</x:v>
      </x:c>
      <x:c r="H77" s="8" t="n">
        <x:v>0</x:v>
      </x:c>
      <x:c r="I77" s="8" t="n">
        <x:v>0</x:v>
      </x:c>
      <x:c r="J77" s="8" t="n">
        <x:v>0</x:v>
      </x:c>
      <x:c r="K77" s="8" t="n">
        <x:v>0</x:v>
      </x:c>
      <x:c r="L77" s="8" t="n">
        <x:v>0</x:v>
      </x:c>
      <x:c r="M77" s="8" t="n">
        <x:v>0</x:v>
      </x:c>
      <x:c r="N77" s="7" t="str">
        <x:v>status, module</x:v>
      </x:c>
      <x:c r="O77" s="7" t="str">
        <x:v>{"status":"clarification","module":null}</x:v>
      </x:c>
      <x:c r="P77" s="7" t="str">
        <x:v>{"status":"draft","reason":null,"module":"schedule","draft":null,"fields":{"id":"e7e65da7-2cb9-48d5-befd-71512fc5b367","title":"驾校课","notes":"挪到周五","date":null,"time":null,"amount":null,"kind":null,"category":null,"account":null,"timezone":"Asia/Shanghai"}}</x:v>
      </x:c>
      <x:c r="Q77" s="7" t="str">
        <x:v>{"intent":"single_task","module":"schedule","title":"驾校课","notes":"挪到周五","date_text":"周四","time_text":"原定时间"}</x:v>
      </x:c>
      <x:c r="R77" s="8" t="n">
        <x:v>1</x:v>
      </x:c>
      <x:c r="S77" s="8" t="n">
        <x:v>0</x:v>
      </x:c>
      <x:c r="T77" s="8" t="n">
        <x:v>0</x:v>
      </x:c>
      <x:c r="U77" s="8" t="n">
        <x:v>0</x:v>
      </x:c>
      <x:c r="V77" s="7" t="str">
        <x:v>mutation</x:v>
      </x:c>
    </x:row>
    <x:row r="78" ht="88" customHeight="1">
      <x:c r="A78" s="7" t="str">
        <x:v>mh4-schedule-zh-04</x:v>
      </x:c>
      <x:c r="B78" s="7" t="str">
        <x:v>schedule</x:v>
      </x:c>
      <x:c r="C78" s="7" t="str">
        <x:v>今天中午12点约了房屋验收，记到日历。</x:v>
      </x:c>
      <x:c r="D78" s="7" t="str">
        <x:v>draft</x:v>
      </x:c>
      <x:c r="E78" s="7" t="str">
        <x:v>schedule</x:v>
      </x:c>
      <x:c r="F78" s="7" t="str">
        <x:v>draft</x:v>
      </x:c>
      <x:c r="G78" s="7" t="str">
        <x:v>schedule</x:v>
      </x:c>
      <x:c r="H78" s="8" t="n">
        <x:v>1</x:v>
      </x:c>
      <x:c r="I78" s="8" t="n">
        <x:v>2</x:v>
      </x:c>
      <x:c r="J78" s="8" t="n">
        <x:v>2</x:v>
      </x:c>
      <x:c r="K78" s="8" t="n">
        <x:v>1</x:v>
      </x:c>
      <x:c r="L78" s="8" t="n">
        <x:v>1</x:v>
      </x:c>
      <x:c r="M78" s="8" t="n">
        <x:v>1</x:v>
      </x:c>
      <x:c r="N78" s="7" t="str"/>
      <x:c r="O78" s="7" t="str">
        <x:v>{"status":"draft","module":"schedule","title":{"containsAny":["验收"]},"date":"2026-10-06","time":"12:00"}</x:v>
      </x:c>
      <x:c r="P78" s="7" t="str">
        <x:v>{"status":"draft","reason":null,"module":"schedule","draft":null,"fields":{"id":"116012c4-3237-49ae-b547-b18cf2e125d2","title":"房屋验收","notes":"12点","date":"2026-10-06","time":"12:00","amount":null,"kind":null,"category":null,"account":null,"timezone":"Asia/Shanghai"}}</x:v>
      </x:c>
      <x:c r="Q78" s="7" t="str">
        <x:v>{"intent":"single_task","module":"schedule","title":"房屋验收","notes":"12点","date_text":"今天","time_text":"12:00"}</x:v>
      </x:c>
      <x:c r="R78" s="8" t="n">
        <x:v>1</x:v>
      </x:c>
      <x:c r="S78" s="8" t="n">
        <x:v>1</x:v>
      </x:c>
      <x:c r="T78" s="8" t="n">
        <x:v>1</x:v>
      </x:c>
      <x:c r="U78" s="8" t="n">
        <x:v>1</x:v>
      </x:c>
      <x:c r="V78" s="7" t="str">
        <x:v>complete</x:v>
      </x:c>
    </x:row>
    <x:row r="79" ht="88" customHeight="1">
      <x:c r="A79" s="7" t="str">
        <x:v>mh4-finance-zh-16</x:v>
      </x:c>
      <x:c r="B79" s="7" t="str">
        <x:v>finance</x:v>
      </x:c>
      <x:c r="C79" s="7" t="str">
        <x:v>今天奶茶花了15.999元，微信付，原样写金额。</x:v>
      </x:c>
      <x:c r="D79" s="7" t="str">
        <x:v>draft</x:v>
      </x:c>
      <x:c r="E79" s="7" t="str">
        <x:v>finance</x:v>
      </x:c>
      <x:c r="F79" s="7" t="str">
        <x:v>draft</x:v>
      </x:c>
      <x:c r="G79" s="7" t="str">
        <x:v>finance</x:v>
      </x:c>
      <x:c r="H79" s="8" t="n">
        <x:v>1</x:v>
      </x:c>
      <x:c r="I79" s="8" t="n">
        <x:v>6</x:v>
      </x:c>
      <x:c r="J79" s="8" t="n">
        <x:v>6</x:v>
      </x:c>
      <x:c r="K79" s="8" t="n">
        <x:v>1</x:v>
      </x:c>
      <x:c r="L79" s="8" t="n">
        <x:v>1</x:v>
      </x:c>
      <x:c r="M79" s="8" t="n">
        <x:v>1</x:v>
      </x:c>
      <x:c r="N79" s="7" t="str"/>
      <x:c r="O79" s="7" t="str">
        <x:v>{"status":"draft","module":"finance","title":{"containsAny":["奶茶"]},"amount":null,"kind":"expense","category":"Food &amp; Drinks","account":"WeChat","date":"2026-10-06"}</x:v>
      </x:c>
      <x:c r="P79" s="7" t="str">
        <x:v>{"status":"draft","reason":null,"module":"finance","draft":null,"fields":{"id":"2736fbf3-7ef7-4da6-a0cc-e1d8cc40efad","title":"奶茶","notes":"","date":"2026-10-06","time":null,"amount":null,"kind":"expense","category":"Food &amp; Drinks","account":"WeChat","timezone":"Asia/Shanghai"}}</x:v>
      </x:c>
      <x:c r="Q79" s="7" t="str">
        <x:v>{"intent":"single_task","module":"finance","title":"奶茶","notes":"","date_text":"今天","amount":"15.999","kind":"expense","category":"Food &amp; Drinks","account":"WeChat"}</x:v>
      </x:c>
      <x:c r="R79" s="8" t="n">
        <x:v>1</x:v>
      </x:c>
      <x:c r="S79" s="8" t="n">
        <x:v>1</x:v>
      </x:c>
      <x:c r="T79" s="8" t="n">
        <x:v>1</x:v>
      </x:c>
      <x:c r="U79" s="8" t="n">
        <x:v>1</x:v>
      </x:c>
      <x:c r="V79" s="7" t="str">
        <x:v>invalid_precision</x:v>
      </x:c>
    </x:row>
    <x:row r="80" ht="88" customHeight="1">
      <x:c r="A80" s="7" t="str">
        <x:v>mh4-finance-zh-19</x:v>
      </x:c>
      <x:c r="B80" s="7" t="str">
        <x:v>finance</x:v>
      </x:c>
      <x:c r="C80" s="7" t="str">
        <x:v>今天午餐36元，可能用支付宝也可能微信，忘记了。</x:v>
      </x:c>
      <x:c r="D80" s="7" t="str">
        <x:v>draft</x:v>
      </x:c>
      <x:c r="E80" s="7" t="str">
        <x:v>finance</x:v>
      </x:c>
      <x:c r="F80" s="7" t="str">
        <x:v>draft</x:v>
      </x:c>
      <x:c r="G80" s="7" t="str">
        <x:v>finance</x:v>
      </x:c>
      <x:c r="H80" s="8" t="n">
        <x:v>1</x:v>
      </x:c>
      <x:c r="I80" s="8" t="n">
        <x:v>5</x:v>
      </x:c>
      <x:c r="J80" s="8" t="n">
        <x:v>6</x:v>
      </x:c>
      <x:c r="K80" s="8" t="n">
        <x:v>0</x:v>
      </x:c>
      <x:c r="L80" s="8" t="n">
        <x:v>1</x:v>
      </x:c>
      <x:c r="M80" s="8" t="n">
        <x:v>0</x:v>
      </x:c>
      <x:c r="N80" s="7" t="str">
        <x:v>kind</x:v>
      </x:c>
      <x:c r="O80" s="7" t="str">
        <x:v>{"status":"draft","module":"finance","title":{"containsAny":["午餐"]},"amount":"36","kind":"expense","category":"Food &amp; Drinks","account":null,"date":"2026-10-06"}</x:v>
      </x:c>
      <x:c r="P80" s="7" t="str">
        <x:v>{"status":"draft","reason":null,"module":"finance","draft":null,"fields":{"id":"ab3b88fd-a39f-4087-ab7a-f6a7ee425708","title":"午餐","notes":"","date":"2026-10-06","time":null,"amount":"36","kind":null,"category":"Food &amp; Drinks","account":null,"timezone":"Asia/Shanghai"}}</x:v>
      </x:c>
      <x:c r="Q80" s="7" t="str">
        <x:v>{"intent":"single_task","module":"finance","title":"午餐","notes":"","date_text":"今天","amount":"36","kind":"expense","category":"Food &amp; Drinks","account":"支付宝"}</x:v>
      </x:c>
      <x:c r="R80" s="8" t="n">
        <x:v>1</x:v>
      </x:c>
      <x:c r="S80" s="8" t="n">
        <x:v>1</x:v>
      </x:c>
      <x:c r="T80" s="8" t="n">
        <x:v>1</x:v>
      </x:c>
      <x:c r="U80" s="8" t="n">
        <x:v>1</x:v>
      </x:c>
      <x:c r="V80" s="7" t="str">
        <x:v>uncertain_account</x:v>
      </x:c>
    </x:row>
    <x:row r="81" ht="88" customHeight="1">
      <x:c r="A81" s="7" t="str">
        <x:v>mh4-health-zh-01</x:v>
      </x:c>
      <x:c r="B81" s="7" t="str">
        <x:v>health</x:v>
      </x:c>
      <x:c r="C81" s="7" t="str">
        <x:v>我想核对今天花在手机上的总时数，打开相关用时界面。</x:v>
      </x:c>
      <x:c r="D81" s="7" t="str">
        <x:v>draft</x:v>
      </x:c>
      <x:c r="E81" s="7" t="str">
        <x:v>health</x:v>
      </x:c>
      <x:c r="F81" s="7" t="str">
        <x:v>clarification</x:v>
      </x:c>
      <x:c r="G81" s="7" t="str"/>
      <x:c r="H81" s="8" t="n">
        <x:v>0</x:v>
      </x:c>
      <x:c r="I81" s="8" t="n">
        <x:v>0</x:v>
      </x:c>
      <x:c r="J81" s="8" t="n">
        <x:v>0</x:v>
      </x:c>
      <x:c r="K81" s="8" t="n">
        <x:v>0</x:v>
      </x:c>
      <x:c r="L81" s="8" t="n">
        <x:v>1</x:v>
      </x:c>
      <x:c r="M81" s="8" t="n">
        <x:v>0</x:v>
      </x:c>
      <x:c r="N81" s="7" t="str">
        <x:v>status, module</x:v>
      </x:c>
      <x:c r="O81" s="7" t="str">
        <x:v>{"status":"draft","module":"health"}</x:v>
      </x:c>
      <x:c r="P81" s="7" t="str">
        <x:v>{"status":"clarification","reason":"health_unsupported","module":null,"draft":null,"fields":null}</x:v>
      </x:c>
      <x:c r="Q81" s="7" t="str">
        <x:v>{"intent":"single_task","module":"health","title":"查看手机使用时长","notes":""}</x:v>
      </x:c>
      <x:c r="R81" s="8" t="n">
        <x:v>1</x:v>
      </x:c>
      <x:c r="S81" s="8" t="n">
        <x:v>1</x:v>
      </x:c>
      <x:c r="T81" s="8" t="n">
        <x:v>0</x:v>
      </x:c>
      <x:c r="U81" s="8" t="n">
        <x:v>0</x:v>
      </x:c>
      <x:c r="V81" s="7" t="str">
        <x:v>colloquial</x:v>
      </x:c>
    </x:row>
    <x:row r="82" ht="88" customHeight="1">
      <x:c r="A82" s="7" t="str">
        <x:v>mh4-schedule-zh-29</x:v>
      </x:c>
      <x:c r="B82" s="7" t="str">
        <x:v>schedule</x:v>
      </x:c>
      <x:c r="C82" s="7" t="str">
        <x:v>周日9点加个登山日程，另记今天购买登山杖花费70元。</x:v>
      </x:c>
      <x:c r="D82" s="7" t="str">
        <x:v>clarification</x:v>
      </x:c>
      <x:c r="E82" s="7" t="str"/>
      <x:c r="F82" s="7" t="str"/>
      <x:c r="G82" s="7" t="str"/>
      <x:c r="H82" s="8" t="n">
        <x:v>0</x:v>
      </x:c>
      <x:c r="I82" s="8" t="n">
        <x:v>0</x:v>
      </x:c>
      <x:c r="J82" s="8" t="n">
        <x:v>0</x:v>
      </x:c>
      <x:c r="K82" s="8" t="n">
        <x:v>0</x:v>
      </x:c>
      <x:c r="L82" s="8" t="n">
        <x:v>0</x:v>
      </x:c>
      <x:c r="M82" s="8" t="n">
        <x:v>0</x:v>
      </x:c>
      <x:c r="N82" s="7" t="str">
        <x:v>ValueError</x:v>
      </x:c>
      <x:c r="O82" s="7" t="str">
        <x:v>{"status":"clarification","module":null}</x:v>
      </x:c>
      <x:c r="P82" s="7" t="str">
        <x:v>{}</x:v>
      </x:c>
      <x:c r="Q82" s="7" t="str">
        <x:v>{"intent":"single_task","module":"schedule","title":"登山","notes":"9点","date_text":"周日","time_text":"9:00"} {"intent":"single_task","module":"finance","title":"登山杖购买","notes":"70元","date_text":"今天","amount":"70","kind":"expense","category":"Others","account":"其他账户"}</x:v>
      </x:c>
      <x:c r="R82" s="8" t="n">
        <x:v>1</x:v>
      </x:c>
      <x:c r="S82" s="8" t="n">
        <x:v>0</x:v>
      </x:c>
      <x:c r="T82" s="8" t="n">
        <x:v>0</x:v>
      </x:c>
      <x:c r="U82" s="8" t="n">
        <x:v>0</x:v>
      </x:c>
      <x:c r="V82" s="7" t="str">
        <x:v>multiple_actions</x:v>
      </x:c>
    </x:row>
    <x:row r="83" ht="88" customHeight="1">
      <x:c r="A83" s="7" t="str">
        <x:v>mh4-finance-zh-25</x:v>
      </x:c>
      <x:c r="B83" s="7" t="str">
        <x:v>finance</x:v>
      </x:c>
      <x:c r="C83" s="7" t="str">
        <x:v>将之前那笔披萨消费从50改成45元。</x:v>
      </x:c>
      <x:c r="D83" s="7" t="str">
        <x:v>clarification</x:v>
      </x:c>
      <x:c r="E83" s="7" t="str"/>
      <x:c r="F83" s="7" t="str"/>
      <x:c r="G83" s="7" t="str"/>
      <x:c r="H83" s="8" t="n">
        <x:v>0</x:v>
      </x:c>
      <x:c r="I83" s="8" t="n">
        <x:v>0</x:v>
      </x:c>
      <x:c r="J83" s="8" t="n">
        <x:v>0</x:v>
      </x:c>
      <x:c r="K83" s="8" t="n">
        <x:v>0</x:v>
      </x:c>
      <x:c r="L83" s="8" t="n">
        <x:v>0</x:v>
      </x:c>
      <x:c r="M83" s="8" t="n">
        <x:v>0</x:v>
      </x:c>
      <x:c r="N83" s="7" t="str">
        <x:v>invalid_model_output</x:v>
      </x:c>
      <x:c r="O83" s="7" t="str">
        <x:v>{"status":"clarification","module":null}</x:v>
      </x:c>
      <x:c r="P83" s="7" t="str">
        <x:v>{}</x:v>
      </x:c>
      <x:c r="Q83" s="7" t="str">
        <x:v>{"intent":"single_task","module":"finance","title":"披萨消费","notes":"50元","old_amount":"50","new_amount":"45","kind":"expense","category":"Food &amp; Drinks","account":"Cash"}</x:v>
      </x:c>
      <x:c r="R83" s="8" t="n">
        <x:v>1</x:v>
      </x:c>
      <x:c r="S83" s="8" t="n">
        <x:v>0</x:v>
      </x:c>
      <x:c r="T83" s="8" t="n">
        <x:v>0</x:v>
      </x:c>
      <x:c r="U83" s="8" t="n">
        <x:v>0</x:v>
      </x:c>
      <x:c r="V83" s="7" t="str">
        <x:v>mutation</x:v>
      </x:c>
    </x:row>
    <x:row r="84" ht="88" customHeight="1">
      <x:c r="A84" s="7" t="str">
        <x:v>mh4-schedule-zh-16</x:v>
      </x:c>
      <x:c r="B84" s="7" t="str">
        <x:v>schedule</x:v>
      </x:c>
      <x:c r="C84" s="7" t="str">
        <x:v>日程名称是“领取”，内容为明天下午两点去拿补办的证件。</x:v>
      </x:c>
      <x:c r="D84" s="7" t="str">
        <x:v>draft</x:v>
      </x:c>
      <x:c r="E84" s="7" t="str">
        <x:v>schedule</x:v>
      </x:c>
      <x:c r="F84" s="7" t="str">
        <x:v>draft</x:v>
      </x:c>
      <x:c r="G84" s="7" t="str">
        <x:v>schedule</x:v>
      </x:c>
      <x:c r="H84" s="8" t="n">
        <x:v>1</x:v>
      </x:c>
      <x:c r="I84" s="8" t="n">
        <x:v>2</x:v>
      </x:c>
      <x:c r="J84" s="8" t="n">
        <x:v>2</x:v>
      </x:c>
      <x:c r="K84" s="8" t="n">
        <x:v>0</x:v>
      </x:c>
      <x:c r="L84" s="8" t="n">
        <x:v>1</x:v>
      </x:c>
      <x:c r="M84" s="8" t="n">
        <x:v>0</x:v>
      </x:c>
      <x:c r="N84" s="7" t="str">
        <x:v>time</x:v>
      </x:c>
      <x:c r="O84" s="7" t="str">
        <x:v>{"status":"draft","module":"schedule","title":{"containsAny":["领取"]},"date":"2026-10-07","time":"14:00"}</x:v>
      </x:c>
      <x:c r="P84" s="7" t="str">
        <x:v>{"status":"draft","reason":null,"module":"schedule","draft":null,"fields":{"id":"20954f89-7743-4669-afc0-daded93474b7","title":"领取证件","notes":"","date":"2026-10-07","time":null,"amount":null,"kind":null,"category":null,"account":null,"timezone":"Asia/Shanghai"}}</x:v>
      </x:c>
      <x:c r="Q84" s="7" t="str">
        <x:v>{"intent":"single_task","module":"schedule","title":"领取证件","notes":"","date_text":"明天","time_text":"下午两点"}</x:v>
      </x:c>
      <x:c r="R84" s="8" t="n">
        <x:v>1</x:v>
      </x:c>
      <x:c r="S84" s="8" t="n">
        <x:v>1</x:v>
      </x:c>
      <x:c r="T84" s="8" t="n">
        <x:v>1</x:v>
      </x:c>
      <x:c r="U84" s="8" t="n">
        <x:v>1</x:v>
      </x:c>
      <x:c r="V84" s="7" t="str">
        <x:v>explicit_title</x:v>
      </x:c>
    </x:row>
    <x:row r="85" ht="88" customHeight="1">
      <x:c r="A85" s="7" t="str">
        <x:v>mh4-finance-zh-30</x:v>
      </x:c>
      <x:c r="B85" s="7" t="str">
        <x:v>finance</x:v>
      </x:c>
      <x:c r="C85" s="7" t="str">
        <x:v>现在直接从支付宝给房东转2000元。</x:v>
      </x:c>
      <x:c r="D85" s="7" t="str">
        <x:v>clarification</x:v>
      </x:c>
      <x:c r="E85" s="7" t="str"/>
      <x:c r="F85" s="7" t="str">
        <x:v>draft</x:v>
      </x:c>
      <x:c r="G85" s="7" t="str">
        <x:v>finance</x:v>
      </x:c>
      <x:c r="H85" s="8" t="n">
        <x:v>0</x:v>
      </x:c>
      <x:c r="I85" s="8" t="n">
        <x:v>0</x:v>
      </x:c>
      <x:c r="J85" s="8" t="n">
        <x:v>0</x:v>
      </x:c>
      <x:c r="K85" s="8" t="n">
        <x:v>0</x:v>
      </x:c>
      <x:c r="L85" s="8" t="n">
        <x:v>0</x:v>
      </x:c>
      <x:c r="M85" s="8" t="n">
        <x:v>0</x:v>
      </x:c>
      <x:c r="N85" s="7" t="str">
        <x:v>status, module</x:v>
      </x:c>
      <x:c r="O85" s="7" t="str">
        <x:v>{"status":"clarification","module":null}</x:v>
      </x:c>
      <x:c r="P85" s="7" t="str">
        <x:v>{"status":"draft","reason":null,"module":"finance","draft":null,"fields":{"id":"a248d48f-6198-48a1-bb48-7dfdc3d16f76","title":"现在直接从支付宝给房东转2000元","notes":"给房东","date":null,"time":null,"amount":"2000","kind":"expense","category":"Others","account":"Alipay","timezone":"Asia/Shanghai"}}</x:v>
      </x:c>
      <x:c r="Q85" s="7" t="str">
        <x:v>{"intent":"single_task","module":"finance","title":"转账","notes":"给房东","amount":"2000","kind":"expense","category":"Others","account":"Alipay"}</x:v>
      </x:c>
      <x:c r="R85" s="8" t="n">
        <x:v>1</x:v>
      </x:c>
      <x:c r="S85" s="8" t="n">
        <x:v>0</x:v>
      </x:c>
      <x:c r="T85" s="8" t="n">
        <x:v>0</x:v>
      </x:c>
      <x:c r="U85" s="8" t="n">
        <x:v>0</x:v>
      </x:c>
      <x:c r="V85" s="7" t="str">
        <x:v>external_action</x:v>
      </x:c>
    </x:row>
    <x:row r="86" ht="88" customHeight="1">
      <x:c r="A86" s="7" t="str">
        <x:v>mh4-health-zh-25</x:v>
      </x:c>
      <x:c r="B86" s="7" t="str">
        <x:v>health</x:v>
      </x:c>
      <x:c r="C86" s="7" t="str">
        <x:v>统计上个月各app的总使用时长。</x:v>
      </x:c>
      <x:c r="D86" s="7" t="str">
        <x:v>clarification</x:v>
      </x:c>
      <x:c r="E86" s="7" t="str"/>
      <x:c r="F86" s="7" t="str">
        <x:v>clarification</x:v>
      </x:c>
      <x:c r="G86" s="7" t="str"/>
      <x:c r="H86" s="8" t="n">
        <x:v>1</x:v>
      </x:c>
      <x:c r="I86" s="8" t="n">
        <x:v>0</x:v>
      </x:c>
      <x:c r="J86" s="8" t="n">
        <x:v>0</x:v>
      </x:c>
      <x:c r="K86" s="8" t="n">
        <x:v>1</x:v>
      </x:c>
      <x:c r="L86" s="8" t="n">
        <x:v>0</x:v>
      </x:c>
      <x:c r="M86" s="8" t="n">
        <x:v>0</x:v>
      </x:c>
      <x:c r="N86" s="7" t="str"/>
      <x:c r="O86" s="7" t="str">
        <x:v>{"status":"clarification","module":null}</x:v>
      </x:c>
      <x:c r="P86" s="7" t="str">
        <x:v>{"status":"clarification","reason":"health_today_only","module":null,"draft":null,"fields":null}</x:v>
      </x:c>
      <x:c r="Q86" s="7" t="str">
        <x:v>{
  "intent": "single_task",
  "module": "schedule",
  "title": "统计上个月各app的总使用时长",
  "notes": "",
  "date_text": "上个月",
  "time_text": "总使用时长"
}</x:v>
      </x:c>
      <x:c r="R86" s="8" t="n">
        <x:v>1</x:v>
      </x:c>
      <x:c r="S86" s="8" t="n">
        <x:v>0</x:v>
      </x:c>
      <x:c r="T86" s="8" t="n">
        <x:v>0</x:v>
      </x:c>
      <x:c r="U86" s="8" t="n">
        <x:v>0</x:v>
      </x:c>
      <x:c r="V86" s="7" t="str">
        <x:v>historical_usage</x:v>
      </x:c>
    </x:row>
    <x:row r="87" ht="90" customHeight="1">
      <x:c r="A87" s="7" t="str">
        <x:v>mh4-memo-zh-11</x:v>
      </x:c>
      <x:c r="B87" s="7" t="str">
        <x:v>memo</x:v>
      </x:c>
      <x:c r="C87" s="7" t="str">
        <x:v>本周五前完成邮箱归档，列到待办里面。</x:v>
      </x:c>
      <x:c r="D87" s="7" t="str">
        <x:v>draft</x:v>
      </x:c>
      <x:c r="E87" s="7" t="str">
        <x:v>memo</x:v>
      </x:c>
      <x:c r="F87" s="7" t="str">
        <x:v>draft</x:v>
      </x:c>
      <x:c r="G87" s="7" t="str">
        <x:v>memo</x:v>
      </x:c>
      <x:c r="H87" s="8" t="n">
        <x:v>1</x:v>
      </x:c>
      <x:c r="I87" s="8" t="n">
        <x:v>1</x:v>
      </x:c>
      <x:c r="J87" s="8" t="n">
        <x:v>1</x:v>
      </x:c>
      <x:c r="K87" s="8" t="n">
        <x:v>1</x:v>
      </x:c>
      <x:c r="L87" s="8" t="n">
        <x:v>1</x:v>
      </x:c>
      <x:c r="M87" s="8" t="n">
        <x:v>1</x:v>
      </x:c>
      <x:c r="N87" s="7" t="str"/>
      <x:c r="O87" s="7" t="str">
        <x:v>{"status":"draft","module":"memo","title":{"containsAny":["邮箱","归档"]},"date":"2026-10-09","priority":null}</x:v>
      </x:c>
      <x:c r="P87" s="7" t="str">
        <x:v>{"status":"draft","reason":null,"draft":{"id":"8a0164fb-ffeb-408c-9df4-aaddd3974d39","title":"本周五前完成邮箱归档，列到待办里面","notes":"列到待办里面","dueDate":"2026-10-09","timezone":"Asia/Shanghai","priority":null,"dateText":"本周五","warnings":["priority_missing"]},"module":"memo","fields":null}</x:v>
      </x:c>
      <x:c r="Q87" s="7" t="str">
        <x:v>{"intent":"single_task","module":"schedule","title":"归档邮箱","notes":"列到待办里面","date_text":"本周五","priority":"urgent"}</x:v>
      </x:c>
      <x:c r="R87" s="8" t="n">
        <x:v>1</x:v>
      </x:c>
      <x:c r="S87" s="8" t="n">
        <x:v>0</x:v>
      </x:c>
      <x:c r="T87" s="8" t="n">
        <x:v>1</x:v>
      </x:c>
      <x:c r="U87" s="8" t="n">
        <x:v>1</x:v>
      </x:c>
      <x:c r="V87" s="7" t="str">
        <x:v>calendar_week</x:v>
      </x:c>
    </x:row>
    <x:row r="88" ht="88" customHeight="1">
      <x:c r="A88" s="7" t="str">
        <x:v>mh4-health-zh-20</x:v>
      </x:c>
      <x:c r="B88" s="7" t="str">
        <x:v>health</x:v>
      </x:c>
      <x:c r="C88" s="7" t="str">
        <x:v>新增健康记录：早上喝了350毫升水。</x:v>
      </x:c>
      <x:c r="D88" s="7" t="str">
        <x:v>clarification</x:v>
      </x:c>
      <x:c r="E88" s="7" t="str"/>
      <x:c r="F88" s="7" t="str">
        <x:v>clarification</x:v>
      </x:c>
      <x:c r="G88" s="7" t="str"/>
      <x:c r="H88" s="8" t="n">
        <x:v>1</x:v>
      </x:c>
      <x:c r="I88" s="8" t="n">
        <x:v>0</x:v>
      </x:c>
      <x:c r="J88" s="8" t="n">
        <x:v>0</x:v>
      </x:c>
      <x:c r="K88" s="8" t="n">
        <x:v>1</x:v>
      </x:c>
      <x:c r="L88" s="8" t="n">
        <x:v>0</x:v>
      </x:c>
      <x:c r="M88" s="8" t="n">
        <x:v>0</x:v>
      </x:c>
      <x:c r="N88" s="7" t="str"/>
      <x:c r="O88" s="7" t="str">
        <x:v>{"status":"clarification","module":null}</x:v>
      </x:c>
      <x:c r="P88" s="7" t="str">
        <x:v>{"status":"clarification","reason":"health_unsupported","module":null,"draft":null,"fields":null}</x:v>
      </x:c>
      <x:c r="Q88" s="7" t="str">
        <x:v>{"intent":"single_task","module":"health","title":"早上喝水","notes":"早上喝了350毫升水","date_text":"null","time_text":"null"}</x:v>
      </x:c>
      <x:c r="R88" s="8" t="n">
        <x:v>1</x:v>
      </x:c>
      <x:c r="S88" s="8" t="n">
        <x:v>0</x:v>
      </x:c>
      <x:c r="T88" s="8" t="n">
        <x:v>0</x:v>
      </x:c>
      <x:c r="U88" s="8" t="n">
        <x:v>0</x:v>
      </x:c>
      <x:c r="V88" s="7" t="str">
        <x:v>body_logging</x:v>
      </x:c>
    </x:row>
    <x:row r="89" ht="88" customHeight="1">
      <x:c r="A89" s="7" t="str">
        <x:v>mh4-memo-zh-26</x:v>
      </x:c>
      <x:c r="B89" s="7" t="str">
        <x:v>memo</x:v>
      </x:c>
      <x:c r="C89" s="7" t="str">
        <x:v>能把清单里已经完成的三项一次移除吗？</x:v>
      </x:c>
      <x:c r="D89" s="7" t="str">
        <x:v>clarification</x:v>
      </x:c>
      <x:c r="E89" s="7" t="str"/>
      <x:c r="F89" s="7" t="str">
        <x:v>draft</x:v>
      </x:c>
      <x:c r="G89" s="7" t="str">
        <x:v>memo</x:v>
      </x:c>
      <x:c r="H89" s="8" t="n">
        <x:v>0</x:v>
      </x:c>
      <x:c r="I89" s="8" t="n">
        <x:v>0</x:v>
      </x:c>
      <x:c r="J89" s="8" t="n">
        <x:v>0</x:v>
      </x:c>
      <x:c r="K89" s="8" t="n">
        <x:v>0</x:v>
      </x:c>
      <x:c r="L89" s="8" t="n">
        <x:v>0</x:v>
      </x:c>
      <x:c r="M89" s="8" t="n">
        <x:v>0</x:v>
      </x:c>
      <x:c r="N89" s="7" t="str">
        <x:v>status, module</x:v>
      </x:c>
      <x:c r="O89" s="7" t="str">
        <x:v>{"status":"clarification","module":null}</x:v>
      </x:c>
      <x:c r="P89" s="7" t="str">
        <x:v>{"status":"draft","reason":null,"draft":{"id":"dfa38cfc-842c-44e4-815f-db585467e14c","title":"移除已完成的三项","notes":"已完成的三项","dueDate":null,"timezone":"Asia/Shanghai","priority":null,"dateText":null,"warnings":["date_missing","priority_missing"]},"module":"memo","fields":null}</x:v>
      </x:c>
      <x:c r="Q89" s="7" t="str">
        <x:v>{"intent":"single_task","module":"memo","title":"移除已完成的三项","notes":"已完成的三项","date_text":"null","time_text":"null"}</x:v>
      </x:c>
      <x:c r="R89" s="8" t="n">
        <x:v>1</x:v>
      </x:c>
      <x:c r="S89" s="8" t="n">
        <x:v>0</x:v>
      </x:c>
      <x:c r="T89" s="8" t="n">
        <x:v>0</x:v>
      </x:c>
      <x:c r="U89" s="8" t="n">
        <x:v>0</x:v>
      </x:c>
      <x:c r="V89" s="7" t="str">
        <x:v>mutation</x:v>
      </x:c>
    </x:row>
    <x:row r="90" ht="88" customHeight="1">
      <x:c r="A90" s="7" t="str">
        <x:v>mh4-finance-zh-03</x:v>
      </x:c>
      <x:c r="B90" s="7" t="str">
        <x:v>finance</x:v>
      </x:c>
      <x:c r="C90" s="7" t="str">
        <x:v>记今天买背包支出189元，刷的信用卡，分类购物。</x:v>
      </x:c>
      <x:c r="D90" s="7" t="str">
        <x:v>draft</x:v>
      </x:c>
      <x:c r="E90" s="7" t="str">
        <x:v>finance</x:v>
      </x:c>
      <x:c r="F90" s="7" t="str">
        <x:v>draft</x:v>
      </x:c>
      <x:c r="G90" s="7" t="str">
        <x:v>finance</x:v>
      </x:c>
      <x:c r="H90" s="8" t="n">
        <x:v>1</x:v>
      </x:c>
      <x:c r="I90" s="8" t="n">
        <x:v>6</x:v>
      </x:c>
      <x:c r="J90" s="8" t="n">
        <x:v>6</x:v>
      </x:c>
      <x:c r="K90" s="8" t="n">
        <x:v>1</x:v>
      </x:c>
      <x:c r="L90" s="8" t="n">
        <x:v>1</x:v>
      </x:c>
      <x:c r="M90" s="8" t="n">
        <x:v>1</x:v>
      </x:c>
      <x:c r="N90" s="7" t="str"/>
      <x:c r="O90" s="7" t="str">
        <x:v>{"status":"draft","module":"finance","title":{"containsAny":["背包"]},"amount":"189","kind":"expense","category":"Shopping","account":"Credit Card","date":"2026-10-06"}</x:v>
      </x:c>
      <x:c r="P90" s="7" t="str">
        <x:v>{"status":"draft","reason":null,"module":"finance","draft":null,"fields":{"id":"5f4d6597-b5d2-4526-ab4d-1094b629ff9a","title":"背包支出","notes":"","date":"2026-10-06","time":null,"amount":"189","kind":"expense","category":"Shopping","account":"Credit Card","timezone":"Asia/Shanghai"}}</x:v>
      </x:c>
      <x:c r="Q90" s="7" t="str">
        <x:v>{"intent":"single_task","module":"finance","title":"背包支出","notes":"","date_text":"今天","amount":"189","kind":"expense","category":"Shopping","account":"Credit Card"}</x:v>
      </x:c>
      <x:c r="R90" s="8" t="n">
        <x:v>1</x:v>
      </x:c>
      <x:c r="S90" s="8" t="n">
        <x:v>1</x:v>
      </x:c>
      <x:c r="T90" s="8" t="n">
        <x:v>1</x:v>
      </x:c>
      <x:c r="U90" s="8" t="n">
        <x:v>1</x:v>
      </x:c>
      <x:c r="V90" s="7" t="str">
        <x:v>complete</x:v>
      </x:c>
    </x:row>
    <x:row r="91" ht="88" customHeight="1">
      <x:c r="A91" s="7" t="str">
        <x:v>mh4-memo-zh-01</x:v>
      </x:c>
      <x:c r="B91" s="7" t="str">
        <x:v>memo</x:v>
      </x:c>
      <x:c r="C91" s="7" t="str">
        <x:v>这事不能拖：今天得把毕业照发给班长，记个紧急待办。</x:v>
      </x:c>
      <x:c r="D91" s="7" t="str">
        <x:v>draft</x:v>
      </x:c>
      <x:c r="E91" s="7" t="str">
        <x:v>memo</x:v>
      </x:c>
      <x:c r="F91" s="7" t="str">
        <x:v>draft</x:v>
      </x:c>
      <x:c r="G91" s="7" t="str">
        <x:v>memo</x:v>
      </x:c>
      <x:c r="H91" s="8" t="n">
        <x:v>1</x:v>
      </x:c>
      <x:c r="I91" s="8" t="n">
        <x:v>1</x:v>
      </x:c>
      <x:c r="J91" s="8" t="n">
        <x:v>1</x:v>
      </x:c>
      <x:c r="K91" s="8" t="n">
        <x:v>1</x:v>
      </x:c>
      <x:c r="L91" s="8" t="n">
        <x:v>1</x:v>
      </x:c>
      <x:c r="M91" s="8" t="n">
        <x:v>1</x:v>
      </x:c>
      <x:c r="N91" s="7" t="str"/>
      <x:c r="O91" s="7" t="str">
        <x:v>{"status":"draft","module":"memo","title":{"containsAny":["毕业照"]},"date":"2026-10-06","priority":"urgent"}</x:v>
      </x:c>
      <x:c r="P91" s="7" t="str">
        <x:v>{"status":"draft","reason":null,"draft":{"id":"ebdc573c-4464-4b86-b0d2-3df8f79eb1dd","title":"发毕业照","notes":"紧急待办","dueDate":"2026-10-06","timezone":"Asia/Shanghai","priority":"urgent","dateText":"今天","warnings":[]},"module":"memo","fields":null}</x:v>
      </x:c>
      <x:c r="Q91" s="7" t="str">
        <x:v>{"intent":"single_task","module":"memo","title":"发毕业照","notes":"紧急待办","date_text":"今天","time_text":"立即"}}</x:v>
      </x:c>
      <x:c r="R91" s="8" t="n">
        <x:v>1</x:v>
      </x:c>
      <x:c r="S91" s="8" t="n">
        <x:v>0</x:v>
      </x:c>
      <x:c r="T91" s="8" t="n">
        <x:v>1</x:v>
      </x:c>
      <x:c r="U91" s="8" t="n">
        <x:v>1</x:v>
      </x:c>
      <x:c r="V91" s="7" t="str">
        <x:v>colloquial</x:v>
      </x:c>
    </x:row>
    <x:row r="92" ht="88" customHeight="1">
      <x:c r="A92" s="7" t="str">
        <x:v>mh4-memo-zh-10</x:v>
      </x:c>
      <x:c r="B92" s="7" t="str">
        <x:v>memo</x:v>
      </x:c>
      <x:c r="C92" s="7" t="str">
        <x:v>帮我记个任务：两天后把门垫洗了。</x:v>
      </x:c>
      <x:c r="D92" s="7" t="str">
        <x:v>draft</x:v>
      </x:c>
      <x:c r="E92" s="7" t="str">
        <x:v>memo</x:v>
      </x:c>
      <x:c r="F92" s="7" t="str">
        <x:v>draft</x:v>
      </x:c>
      <x:c r="G92" s="7" t="str">
        <x:v>memo</x:v>
      </x:c>
      <x:c r="H92" s="8" t="n">
        <x:v>1</x:v>
      </x:c>
      <x:c r="I92" s="8" t="n">
        <x:v>1</x:v>
      </x:c>
      <x:c r="J92" s="8" t="n">
        <x:v>1</x:v>
      </x:c>
      <x:c r="K92" s="8" t="n">
        <x:v>0</x:v>
      </x:c>
      <x:c r="L92" s="8" t="n">
        <x:v>1</x:v>
      </x:c>
      <x:c r="M92" s="8" t="n">
        <x:v>0</x:v>
      </x:c>
      <x:c r="N92" s="7" t="str">
        <x:v>date</x:v>
      </x:c>
      <x:c r="O92" s="7" t="str">
        <x:v>{"status":"draft","module":"memo","title":{"containsAny":["门垫"]},"date":"2026-10-08","priority":null}</x:v>
      </x:c>
      <x:c r="P92" s="7" t="str">
        <x:v>{"status":"draft","reason":null,"draft":{"id":"b5757635-9abe-4c6e-9dcf-0f77ab0ccf4e","title":"洗门垫","notes":"","dueDate":null,"timezone":"Asia/Shanghai","priority":null,"dateText":"两天后","warnings":["date_needs_review","priority_missing"]},"module":"memo","fields":null}</x:v>
      </x:c>
      <x:c r="Q92" s="7" t="str">
        <x:v>{"intent":"single_task","module":"memo","title":"洗门垫","notes":"","date_text":"两天后","time_text":"null"}</x:v>
      </x:c>
      <x:c r="R92" s="8" t="n">
        <x:v>1</x:v>
      </x:c>
      <x:c r="S92" s="8" t="n">
        <x:v>1</x:v>
      </x:c>
      <x:c r="T92" s="8" t="n">
        <x:v>1</x:v>
      </x:c>
      <x:c r="U92" s="8" t="n">
        <x:v>0</x:v>
      </x:c>
      <x:c r="V92" s="7" t="str">
        <x:v>relative_date</x:v>
      </x:c>
    </x:row>
    <x:row r="93" ht="88" customHeight="1">
      <x:c r="A93" s="7" t="str">
        <x:v>mh4-health-zh-05</x:v>
      </x:c>
      <x:c r="B93" s="7" t="str">
        <x:v>health</x:v>
      </x:c>
      <x:c r="C93" s="7" t="str">
        <x:v>我想了解今天屏幕亮着累计多长时间。</x:v>
      </x:c>
      <x:c r="D93" s="7" t="str">
        <x:v>draft</x:v>
      </x:c>
      <x:c r="E93" s="7" t="str">
        <x:v>health</x:v>
      </x:c>
      <x:c r="F93" s="7" t="str">
        <x:v>draft</x:v>
      </x:c>
      <x:c r="G93" s="7" t="str">
        <x:v>health</x:v>
      </x:c>
      <x:c r="H93" s="8" t="n">
        <x:v>1</x:v>
      </x:c>
      <x:c r="I93" s="8" t="n">
        <x:v>0</x:v>
      </x:c>
      <x:c r="J93" s="8" t="n">
        <x:v>0</x:v>
      </x:c>
      <x:c r="K93" s="8" t="n">
        <x:v>1</x:v>
      </x:c>
      <x:c r="L93" s="8" t="n">
        <x:v>1</x:v>
      </x:c>
      <x:c r="M93" s="8" t="n">
        <x:v>1</x:v>
      </x:c>
      <x:c r="N93" s="7" t="str"/>
      <x:c r="O93" s="7" t="str">
        <x:v>{"status":"draft","module":"health"}</x:v>
      </x:c>
      <x:c r="P93" s="7" t="str">
        <x:v>{"status":"draft","reason":null,"module":"health","draft":null,"fields":{"id":"e68033ef-1d83-4111-8cc0-359e74ce39d9","title":"查看手机使用情况","notes":"","date":"2026-10-06","time":null,"amount":null,"kind":null,"category":null,"account":null,"timezone":"Asia/Shanghai"}}</x:v>
      </x:c>
      <x:c r="Q93" s="7" t="str">
        <x:v>{"intent":"single_task","module":"health","title":"查看手机使用时长","notes":""}</x:v>
      </x:c>
      <x:c r="R93" s="8" t="n">
        <x:v>1</x:v>
      </x:c>
      <x:c r="S93" s="8" t="n">
        <x:v>1</x:v>
      </x:c>
      <x:c r="T93" s="8" t="n">
        <x:v>0</x:v>
      </x:c>
      <x:c r="U93" s="8" t="n">
        <x:v>0</x:v>
      </x:c>
      <x:c r="V93" s="7" t="str">
        <x:v>usage_query</x:v>
      </x:c>
    </x:row>
    <x:row r="94" ht="88" customHeight="1">
      <x:c r="A94" s="7" t="str">
        <x:v>mh4-schedule-zh-05</x:v>
      </x:c>
      <x:c r="B94" s="7" t="str">
        <x:v>schedule</x:v>
      </x:c>
      <x:c r="C94" s="7" t="str">
        <x:v>两天后上午10点要做年度体检。</x:v>
      </x:c>
      <x:c r="D94" s="7" t="str">
        <x:v>draft</x:v>
      </x:c>
      <x:c r="E94" s="7" t="str">
        <x:v>schedule</x:v>
      </x:c>
      <x:c r="F94" s="7" t="str">
        <x:v>draft</x:v>
      </x:c>
      <x:c r="G94" s="7" t="str">
        <x:v>schedule</x:v>
      </x:c>
      <x:c r="H94" s="8" t="n">
        <x:v>1</x:v>
      </x:c>
      <x:c r="I94" s="8" t="n">
        <x:v>1</x:v>
      </x:c>
      <x:c r="J94" s="8" t="n">
        <x:v>2</x:v>
      </x:c>
      <x:c r="K94" s="8" t="n">
        <x:v>0</x:v>
      </x:c>
      <x:c r="L94" s="8" t="n">
        <x:v>1</x:v>
      </x:c>
      <x:c r="M94" s="8" t="n">
        <x:v>0</x:v>
      </x:c>
      <x:c r="N94" s="7" t="str">
        <x:v>date</x:v>
      </x:c>
      <x:c r="O94" s="7" t="str">
        <x:v>{"status":"draft","module":"schedule","title":{"containsAny":["年度","体检"]},"date":"2026-10-08","time":"10:00"}</x:v>
      </x:c>
      <x:c r="P94" s="7" t="str">
        <x:v>{"status":"draft","reason":null,"module":"schedule","draft":null,"fields":{"id":"7c3e45e2-21ac-4c5a-bad3-960569068f79","title":"年度体检","notes":"2 days later, 10:00 AM","date":null,"time":"10:00","amount":null,"kind":null,"category":null,"account":null,"timezone":"Asia/Shanghai"}}</x:v>
      </x:c>
      <x:c r="Q94" s="7" t="str">
        <x:v>{"intent":"single_task","module":"schedule","title":"年度体检","notes":"2 days later, 10:00 AM","date_text":"2 days later","time_text":"10:00 AM"}</x:v>
      </x:c>
      <x:c r="R94" s="8" t="n">
        <x:v>1</x:v>
      </x:c>
      <x:c r="S94" s="8" t="n">
        <x:v>1</x:v>
      </x:c>
      <x:c r="T94" s="8" t="n">
        <x:v>1</x:v>
      </x:c>
      <x:c r="U94" s="8" t="n">
        <x:v>0</x:v>
      </x:c>
      <x:c r="V94" s="7" t="str">
        <x:v>relative_date</x:v>
      </x:c>
    </x:row>
    <x:row r="95" ht="88" customHeight="1">
      <x:c r="A95" s="7" t="str">
        <x:v>mh4-finance-zh-10</x:v>
      </x:c>
      <x:c r="B95" s="7" t="str">
        <x:v>finance</x:v>
      </x:c>
      <x:c r="C95" s="7" t="str">
        <x:v>今天用现金买了豆浆，但价钱记不起来了，先留个记录。</x:v>
      </x:c>
      <x:c r="D95" s="7" t="str">
        <x:v>draft</x:v>
      </x:c>
      <x:c r="E95" s="7" t="str">
        <x:v>finance</x:v>
      </x:c>
      <x:c r="F95" s="7" t="str">
        <x:v>draft</x:v>
      </x:c>
      <x:c r="G95" s="7" t="str">
        <x:v>finance</x:v>
      </x:c>
      <x:c r="H95" s="8" t="n">
        <x:v>1</x:v>
      </x:c>
      <x:c r="I95" s="8" t="n">
        <x:v>6</x:v>
      </x:c>
      <x:c r="J95" s="8" t="n">
        <x:v>6</x:v>
      </x:c>
      <x:c r="K95" s="8" t="n">
        <x:v>1</x:v>
      </x:c>
      <x:c r="L95" s="8" t="n">
        <x:v>1</x:v>
      </x:c>
      <x:c r="M95" s="8" t="n">
        <x:v>1</x:v>
      </x:c>
      <x:c r="N95" s="7" t="str"/>
      <x:c r="O95" s="7" t="str">
        <x:v>{"status":"draft","module":"finance","title":{"containsAny":["豆浆"]},"amount":null,"kind":"expense","category":"Food &amp; Drinks","account":"Cash","date":"2026-10-06"}</x:v>
      </x:c>
      <x:c r="P95" s="7" t="str">
        <x:v>{"status":"draft","reason":null,"module":"finance","draft":null,"fields":{"id":"f2619eff-9eaf-4d0c-a118-c620a98e3f4b","title":"豆浆","notes":"豆浆","date":"2026-10-06","time":null,"amount":null,"kind":"expense","category":"Food &amp; Drinks","account":"Cash","timezone":"Asia/Shanghai"}}</x:v>
      </x:c>
      <x:c r="Q95" s="7" t="str">
        <x:v>{"intent":"single_task","module":"finance","title":"豆浆","notes":"豆浆","date_text":"今天","amount":"记不清","kind":"expense","category":"Food &amp; Drinks","account":"Cash"}</x:v>
      </x:c>
      <x:c r="R95" s="8" t="n">
        <x:v>1</x:v>
      </x:c>
      <x:c r="S95" s="8" t="n">
        <x:v>1</x:v>
      </x:c>
      <x:c r="T95" s="8" t="n">
        <x:v>1</x:v>
      </x:c>
      <x:c r="U95" s="8" t="n">
        <x:v>1</x:v>
      </x:c>
      <x:c r="V95" s="7" t="str">
        <x:v>missing_amount</x:v>
      </x:c>
    </x:row>
    <x:row r="96" ht="88" customHeight="1">
      <x:c r="A96" s="7" t="str">
        <x:v>mh4-memo-zh-17</x:v>
      </x:c>
      <x:c r="B96" s="7" t="str">
        <x:v>memo</x:v>
      </x:c>
      <x:c r="C96" s="7" t="str">
        <x:v>给待办起名“安静模式”，内容是研究手机免打扰设置。</x:v>
      </x:c>
      <x:c r="D96" s="7" t="str">
        <x:v>draft</x:v>
      </x:c>
      <x:c r="E96" s="7" t="str">
        <x:v>memo</x:v>
      </x:c>
      <x:c r="F96" s="7" t="str">
        <x:v>draft</x:v>
      </x:c>
      <x:c r="G96" s="7" t="str">
        <x:v>memo</x:v>
      </x:c>
      <x:c r="H96" s="8" t="n">
        <x:v>1</x:v>
      </x:c>
      <x:c r="I96" s="8" t="n">
        <x:v>1</x:v>
      </x:c>
      <x:c r="J96" s="8" t="n">
        <x:v>1</x:v>
      </x:c>
      <x:c r="K96" s="8" t="n">
        <x:v>1</x:v>
      </x:c>
      <x:c r="L96" s="8" t="n">
        <x:v>1</x:v>
      </x:c>
      <x:c r="M96" s="8" t="n">
        <x:v>1</x:v>
      </x:c>
      <x:c r="N96" s="7" t="str"/>
      <x:c r="O96" s="7" t="str">
        <x:v>{"status":"draft","module":"memo","title":{"containsAny":["安静模式"]},"date":null,"priority":null}</x:v>
      </x:c>
      <x:c r="P96" s="7" t="str">
        <x:v>{"status":"draft","reason":null,"draft":{"id":"70bfe501-918d-4e2c-a35f-41ca1fde1d77","title":"安静模式","notes":"研究手机免打扰设置","dueDate":null,"timezone":"Asia/Shanghai","priority":null,"dateText":null,"warnings":["date_missing","priority_missing"]},"module":"memo","fields":null}</x:v>
      </x:c>
      <x:c r="Q96" s="7" t="str">
        <x:v>{
  "intent": "single_task",
  "module": "memo",
  "title": "安静模式",
  "notes": "研究手机免打扰设置",
  "date_text": null,
  "priority": "high"
}</x:v>
      </x:c>
      <x:c r="R96" s="8" t="n">
        <x:v>1</x:v>
      </x:c>
      <x:c r="S96" s="8" t="n">
        <x:v>1</x:v>
      </x:c>
      <x:c r="T96" s="8" t="n">
        <x:v>1</x:v>
      </x:c>
      <x:c r="U96" s="8" t="n">
        <x:v>1</x:v>
      </x:c>
      <x:c r="V96" s="7" t="str">
        <x:v>explicit_title</x:v>
      </x:c>
    </x:row>
    <x:row r="97" ht="88" customHeight="1">
      <x:c r="A97" s="7" t="str">
        <x:v>mh4-health-zh-03</x:v>
      </x:c>
      <x:c r="B97" s="7" t="str">
        <x:v>health</x:v>
      </x:c>
      <x:c r="C97" s="7" t="str">
        <x:v>现在打开那个看屏幕使用时长的页面。</x:v>
      </x:c>
      <x:c r="D97" s="7" t="str">
        <x:v>draft</x:v>
      </x:c>
      <x:c r="E97" s="7" t="str">
        <x:v>health</x:v>
      </x:c>
      <x:c r="F97" s="7" t="str">
        <x:v>draft</x:v>
      </x:c>
      <x:c r="G97" s="7" t="str">
        <x:v>health</x:v>
      </x:c>
      <x:c r="H97" s="8" t="n">
        <x:v>1</x:v>
      </x:c>
      <x:c r="I97" s="8" t="n">
        <x:v>0</x:v>
      </x:c>
      <x:c r="J97" s="8" t="n">
        <x:v>0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{"status":"draft","module":"health"}</x:v>
      </x:c>
      <x:c r="P97" s="7" t="str">
        <x:v>{"status":"draft","reason":null,"module":"health","draft":null,"fields":{"id":"b25f5b55-e3ee-405f-adb1-10b52920f93b","title":"查看手机使用情况","notes":"","date":null,"time":null,"amount":null,"kind":null,"category":null,"account":null,"timezone":"Asia/Shanghai"}}</x:v>
      </x:c>
      <x:c r="Q97" s="7" t="str">
        <x:v>{"intent":"single_task","module":"health","title":"查看手机使用时长","notes":""}</x:v>
      </x:c>
      <x:c r="R97" s="8" t="n">
        <x:v>1</x:v>
      </x:c>
      <x:c r="S97" s="8" t="n">
        <x:v>1</x:v>
      </x:c>
      <x:c r="T97" s="8" t="n">
        <x:v>0</x:v>
      </x:c>
      <x:c r="U97" s="8" t="n">
        <x:v>0</x:v>
      </x:c>
      <x:c r="V97" s="7" t="str">
        <x:v>open_page</x:v>
      </x:c>
    </x:row>
    <x:row r="98" ht="88" customHeight="1">
      <x:c r="A98" s="7" t="str">
        <x:v>mh4-memo-zh-25</x:v>
      </x:c>
      <x:c r="B98" s="7" t="str">
        <x:v>memo</x:v>
      </x:c>
      <x:c r="C98" s="7" t="str">
        <x:v>把叫“浇花”的旧任务改名为“修剪枝叶”。</x:v>
      </x:c>
      <x:c r="D98" s="7" t="str">
        <x:v>clarification</x:v>
      </x:c>
      <x:c r="E98" s="7" t="str"/>
      <x:c r="F98" s="7" t="str">
        <x:v>draft</x:v>
      </x:c>
      <x:c r="G98" s="7" t="str">
        <x:v>memo</x:v>
      </x:c>
      <x:c r="H98" s="8" t="n">
        <x:v>0</x:v>
      </x:c>
      <x:c r="I98" s="8" t="n">
        <x:v>0</x:v>
      </x:c>
      <x:c r="J98" s="8" t="n">
        <x:v>0</x:v>
      </x:c>
      <x:c r="K98" s="8" t="n">
        <x:v>0</x:v>
      </x:c>
      <x:c r="L98" s="8" t="n">
        <x:v>0</x:v>
      </x:c>
      <x:c r="M98" s="8" t="n">
        <x:v>0</x:v>
      </x:c>
      <x:c r="N98" s="7" t="str">
        <x:v>status, module</x:v>
      </x:c>
      <x:c r="O98" s="7" t="str">
        <x:v>{"status":"clarification","module":null}</x:v>
      </x:c>
      <x:c r="P98" s="7" t="str">
        <x:v>{"status":"draft","reason":null,"draft":{"id":"516d9c79-1261-485b-8227-54ad98575f37","title":"修剪枝叶","notes":"把叫“浇花”的旧任务改名为","dueDate":null,"timezone":"Asia/Shanghai","priority":null,"dateText":null,"warnings":["date_missing","priority_missing"]},"module":"memo","fields":null}</x:v>
      </x:c>
      <x:c r="Q98" s="7" t="str">
        <x:v>{"intent":"single_task","module":"memo","title":"修剪枝叶","notes":"把叫“浇花”的旧任务改名为"}</x:v>
      </x:c>
      <x:c r="R98" s="8" t="n">
        <x:v>1</x:v>
      </x:c>
      <x:c r="S98" s="8" t="n">
        <x:v>0</x:v>
      </x:c>
      <x:c r="T98" s="8" t="n">
        <x:v>0</x:v>
      </x:c>
      <x:c r="U98" s="8" t="n">
        <x:v>0</x:v>
      </x:c>
      <x:c r="V98" s="7" t="str">
        <x:v>mutation</x:v>
      </x:c>
    </x:row>
    <x:row r="99" ht="88" customHeight="1">
      <x:c r="A99" s="7" t="str">
        <x:v>mh4-memo-zh-08</x:v>
      </x:c>
      <x:c r="B99" s="7" t="str">
        <x:v>memo</x:v>
      </x:c>
      <x:c r="C99" s="7" t="str">
        <x:v>清单里加：给多肉浇水，普通优先级，不用日期。</x:v>
      </x:c>
      <x:c r="D99" s="7" t="str">
        <x:v>draft</x:v>
      </x:c>
      <x:c r="E99" s="7" t="str">
        <x:v>memo</x:v>
      </x:c>
      <x:c r="F99" s="7" t="str">
        <x:v>draft</x:v>
      </x:c>
      <x:c r="G99" s="7" t="str">
        <x:v>memo</x:v>
      </x:c>
      <x:c r="H99" s="8" t="n">
        <x:v>1</x:v>
      </x:c>
      <x:c r="I99" s="8" t="n">
        <x:v>1</x:v>
      </x:c>
      <x:c r="J99" s="8" t="n">
        <x:v>1</x:v>
      </x:c>
      <x:c r="K99" s="8" t="n">
        <x:v>1</x:v>
      </x:c>
      <x:c r="L99" s="8" t="n">
        <x:v>1</x:v>
      </x:c>
      <x:c r="M99" s="8" t="n">
        <x:v>1</x:v>
      </x:c>
      <x:c r="N99" s="7" t="str"/>
      <x:c r="O99" s="7" t="str">
        <x:v>{"status":"draft","module":"memo","title":{"containsAny":["多肉","浇水"]},"date":null,"priority":"normal"}</x:v>
      </x:c>
      <x:c r="P99" s="7" t="str">
        <x:v>{"status":"draft","reason":null,"draft":{"id":"dbffb12e-c60e-4abc-8c92-e817d1739352","title":"给多肉浇水","notes":"普通优先级","dueDate":null,"timezone":"Asia/Shanghai","priority":"normal","dateText":null,"warnings":["date_missing"]},"module":"memo","fields":null}</x:v>
      </x:c>
      <x:c r="Q99" s="7" t="str">
        <x:v>{"intent":"single_task","module":"memo","title":"给多肉浇水","notes":"普通优先级","date_text":"null","priority":"normal"}</x:v>
      </x:c>
      <x:c r="R99" s="8" t="n">
        <x:v>1</x:v>
      </x:c>
      <x:c r="S99" s="8" t="n">
        <x:v>1</x:v>
      </x:c>
      <x:c r="T99" s="8" t="n">
        <x:v>1</x:v>
      </x:c>
      <x:c r="U99" s="8" t="n">
        <x:v>1</x:v>
      </x:c>
      <x:c r="V99" s="7" t="str">
        <x:v>explicit_missing</x:v>
      </x:c>
    </x:row>
    <x:row r="100" ht="88" customHeight="1">
      <x:c r="A100" s="7" t="str">
        <x:v>mh4-memo-zh-16</x:v>
      </x:c>
      <x:c r="B100" s="7" t="str">
        <x:v>memo</x:v>
      </x:c>
      <x:c r="C100" s="7" t="str">
        <x:v>备忘：“下周日”是我们读书会的书名。只是书名，不是截止日期。</x:v>
      </x:c>
      <x:c r="D100" s="7" t="str">
        <x:v>draft</x:v>
      </x:c>
      <x:c r="E100" s="7" t="str">
        <x:v>memo</x:v>
      </x:c>
      <x:c r="F100" s="7" t="str">
        <x:v>draft</x:v>
      </x:c>
      <x:c r="G100" s="7" t="str">
        <x:v>memo</x:v>
      </x:c>
      <x:c r="H100" s="8" t="n">
        <x:v>1</x:v>
      </x:c>
      <x:c r="I100" s="8" t="n">
        <x:v>1</x:v>
      </x:c>
      <x:c r="J100" s="8" t="n">
        <x:v>1</x:v>
      </x:c>
      <x:c r="K100" s="8" t="n">
        <x:v>0</x:v>
      </x:c>
      <x:c r="L100" s="8" t="n">
        <x:v>1</x:v>
      </x:c>
      <x:c r="M100" s="8" t="n">
        <x:v>0</x:v>
      </x:c>
      <x:c r="N100" s="7" t="str">
        <x:v>date</x:v>
      </x:c>
      <x:c r="O100" s="7" t="str">
        <x:v>{"status":"draft","module":"memo","title":{"containsAny":["下周日","读书会"]},"date":null,"priority":null}</x:v>
      </x:c>
      <x:c r="P100" s="7" t="str">
        <x:v>{"status":"draft","reason":null,"draft":{"id":"d0334b4a-42c6-41d9-adf2-f9ade69e65d7","title":"读书会书名","notes":"下周日","dueDate":"2026-10-18","timezone":"Asia/Shanghai","priority":null,"dateText":"下周日","warnings":["priority_missing"]},"module":"memo","fields":null}</x:v>
      </x:c>
      <x:c r="Q100" s="7" t="str">
        <x:v>{"intent":"single_task","module":"memo","title":"读书会书名","notes":"下周日","date_text":"下周日"}</x:v>
      </x:c>
      <x:c r="R100" s="8" t="n">
        <x:v>1</x:v>
      </x:c>
      <x:c r="S100" s="8" t="n">
        <x:v>1</x:v>
      </x:c>
      <x:c r="T100" s="8" t="n">
        <x:v>1</x:v>
      </x:c>
      <x:c r="U100" s="8" t="n">
        <x:v>0</x:v>
      </x:c>
      <x:c r="V100" s="7" t="str">
        <x:v>quoted_date</x:v>
      </x:c>
    </x:row>
    <x:row r="101" ht="88" customHeight="1">
      <x:c r="A101" s="7" t="str">
        <x:v>mh4-health-zh-08</x:v>
      </x:c>
      <x:c r="B101" s="7" t="str">
        <x:v>health</x:v>
      </x:c>
      <x:c r="C101" s="7" t="str">
        <x:v>今天手机使用时常是多少？写错了，是时长。</x:v>
      </x:c>
      <x:c r="D101" s="7" t="str">
        <x:v>draft</x:v>
      </x:c>
      <x:c r="E101" s="7" t="str">
        <x:v>health</x:v>
      </x:c>
      <x:c r="F101" s="7" t="str">
        <x:v>draft</x:v>
      </x:c>
      <x:c r="G101" s="7" t="str">
        <x:v>health</x:v>
      </x:c>
      <x:c r="H101" s="8" t="n">
        <x:v>1</x:v>
      </x:c>
      <x:c r="I101" s="8" t="n">
        <x:v>0</x:v>
      </x:c>
      <x:c r="J101" s="8" t="n">
        <x:v>0</x:v>
      </x:c>
      <x:c r="K101" s="8" t="n">
        <x:v>1</x:v>
      </x:c>
      <x:c r="L101" s="8" t="n">
        <x:v>1</x:v>
      </x:c>
      <x:c r="M101" s="8" t="n">
        <x:v>1</x:v>
      </x:c>
      <x:c r="N101" s="7" t="str"/>
      <x:c r="O101" s="7" t="str">
        <x:v>{"status":"draft","module":"health"}</x:v>
      </x:c>
      <x:c r="P101" s="7" t="str">
        <x:v>{"status":"draft","reason":null,"module":"health","draft":null,"fields":{"id":"280f6419-89ee-4369-8e5d-ef5437d7d0a4","title":"查看手机使用情况","notes":"","date":"2026-10-06","time":null,"amount":null,"kind":null,"category":null,"account":null,"timezone":"Asia/Shanghai"}}</x:v>
      </x:c>
      <x:c r="Q101" s="7" t="str">
        <x:v>{"intent":"single_task","module":"health","title":"查看手机使用时长","notes":""}</x:v>
      </x:c>
      <x:c r="R101" s="8" t="n">
        <x:v>1</x:v>
      </x:c>
      <x:c r="S101" s="8" t="n">
        <x:v>1</x:v>
      </x:c>
      <x:c r="T101" s="8" t="n">
        <x:v>0</x:v>
      </x:c>
      <x:c r="U101" s="8" t="n">
        <x:v>0</x:v>
      </x:c>
      <x:c r="V101" s="7" t="str">
        <x:v>typo</x:v>
      </x:c>
    </x:row>
    <x:row r="102" ht="88" customHeight="1">
      <x:c r="A102" s="7" t="str">
        <x:v>mh4-schedule-zh-08</x:v>
      </x:c>
      <x:c r="B102" s="7" t="str">
        <x:v>schedule</x:v>
      </x:c>
      <x:c r="C102" s="7" t="str">
        <x:v>加个调音师上门预约，下午2点，日期还没敲定。</x:v>
      </x:c>
      <x:c r="D102" s="7" t="str">
        <x:v>draft</x:v>
      </x:c>
      <x:c r="E102" s="7" t="str">
        <x:v>schedule</x:v>
      </x:c>
      <x:c r="F102" s="7" t="str">
        <x:v>draft</x:v>
      </x:c>
      <x:c r="G102" s="7" t="str">
        <x:v>schedule</x:v>
      </x:c>
      <x:c r="H102" s="8" t="n">
        <x:v>1</x:v>
      </x:c>
      <x:c r="I102" s="8" t="n">
        <x:v>2</x:v>
      </x:c>
      <x:c r="J102" s="8" t="n">
        <x:v>2</x:v>
      </x:c>
      <x:c r="K102" s="8" t="n">
        <x:v>1</x:v>
      </x:c>
      <x:c r="L102" s="8" t="n">
        <x:v>1</x:v>
      </x:c>
      <x:c r="M102" s="8" t="n">
        <x:v>1</x:v>
      </x:c>
      <x:c r="N102" s="7" t="str"/>
      <x:c r="O102" s="7" t="str">
        <x:v>{"status":"draft","module":"schedule","title":{"containsAny":["调音"]},"date":null,"time":"14:00"}</x:v>
      </x:c>
      <x:c r="P102" s="7" t="str">
        <x:v>{"status":"draft","reason":null,"module":"schedule","draft":null,"fields":{"id":"55c383cf-855c-4865-85bc-61ee471f2f4e","title":"调音师上门预约","notes":"下午2点","date":null,"time":"14:00","amount":null,"kind":null,"category":null,"account":null,"timezone":"Asia/Shanghai"}}</x:v>
      </x:c>
      <x:c r="Q102" s="7" t="str">
        <x:v>{"intent":"single_task","module":"schedule","title":"调音师上门预约","notes":"下午2点","time_text":"下午2点"}</x:v>
      </x:c>
      <x:c r="R102" s="8" t="n">
        <x:v>1</x:v>
      </x:c>
      <x:c r="S102" s="8" t="n">
        <x:v>1</x:v>
      </x:c>
      <x:c r="T102" s="8" t="n">
        <x:v>1</x:v>
      </x:c>
      <x:c r="U102" s="8" t="n">
        <x:v>1</x:v>
      </x:c>
      <x:c r="V102" s="7" t="str">
        <x:v>missing_date</x:v>
      </x:c>
    </x:row>
    <x:row r="103" ht="88" customHeight="1">
      <x:c r="A103" s="7" t="str">
        <x:v>mh4-memo-zh-22</x:v>
      </x:c>
      <x:c r="B103" s="7" t="str">
        <x:v>memo</x:v>
      </x:c>
      <x:c r="C103" s="7" t="str">
        <x:v>待办：换浴室灯泡，不急，哪天都行。</x:v>
      </x:c>
      <x:c r="D103" s="7" t="str">
        <x:v>draft</x:v>
      </x:c>
      <x:c r="E103" s="7" t="str">
        <x:v>memo</x:v>
      </x:c>
      <x:c r="F103" s="7" t="str">
        <x:v>draft</x:v>
      </x:c>
      <x:c r="G103" s="7" t="str">
        <x:v>memo</x:v>
      </x:c>
      <x:c r="H103" s="8" t="n">
        <x:v>1</x:v>
      </x:c>
      <x:c r="I103" s="8" t="n">
        <x:v>1</x:v>
      </x:c>
      <x:c r="J103" s="8" t="n">
        <x:v>1</x:v>
      </x:c>
      <x:c r="K103" s="8" t="n">
        <x:v>0</x:v>
      </x:c>
      <x:c r="L103" s="8" t="n">
        <x:v>1</x:v>
      </x:c>
      <x:c r="M103" s="8" t="n">
        <x:v>0</x:v>
      </x:c>
      <x:c r="N103" s="7" t="str">
        <x:v>priority</x:v>
      </x:c>
      <x:c r="O103" s="7" t="str">
        <x:v>{"status":"draft","module":"memo","title":{"containsAny":["灯泡"]},"date":null,"priority":"normal"}</x:v>
      </x:c>
      <x:c r="P103" s="7" t="str">
        <x:v>{"status":"draft","reason":null,"draft":{"id":"59f09ae8-77c6-4ef0-bd45-c290dc4810fb","title":"换浴室灯泡","notes":"不急，哪天都行","dueDate":null,"timezone":"Asia/Shanghai","priority":null,"dateText":null,"warnings":["date_missing","priority_missing"]},"module":"memo","fields":null}</x:v>
      </x:c>
      <x:c r="Q103" s="7" t="str">
        <x:v>{"intent":"single_task","module":"memo","title":"换浴室灯泡","notes":"不急，哪天都行"}</x:v>
      </x:c>
      <x:c r="R103" s="8" t="n">
        <x:v>1</x:v>
      </x:c>
      <x:c r="S103" s="8" t="n">
        <x:v>1</x:v>
      </x:c>
      <x:c r="T103" s="8" t="n">
        <x:v>1</x:v>
      </x:c>
      <x:c r="U103" s="8" t="n">
        <x:v>1</x:v>
      </x:c>
      <x:c r="V103" s="7" t="str">
        <x:v>negated_urgency</x:v>
      </x:c>
    </x:row>
    <x:row r="104" ht="88" customHeight="1">
      <x:c r="A104" s="7" t="str">
        <x:v>mh4-memo-zh-02</x:v>
      </x:c>
      <x:c r="B104" s="7" t="str">
        <x:v>memo</x:v>
      </x:c>
      <x:c r="C104" s="7" t="str">
        <x:v>麻烦放进清单，明天检查一下灭火器到期没有，优先度高。</x:v>
      </x:c>
      <x:c r="D104" s="7" t="str">
        <x:v>draft</x:v>
      </x:c>
      <x:c r="E104" s="7" t="str">
        <x:v>memo</x:v>
      </x:c>
      <x:c r="F104" s="7" t="str">
        <x:v>draft</x:v>
      </x:c>
      <x:c r="G104" s="7" t="str">
        <x:v>memo</x:v>
      </x:c>
      <x:c r="H104" s="8" t="n">
        <x:v>1</x:v>
      </x:c>
      <x:c r="I104" s="8" t="n">
        <x:v>1</x:v>
      </x:c>
      <x:c r="J104" s="8" t="n">
        <x:v>1</x:v>
      </x:c>
      <x:c r="K104" s="8" t="n">
        <x:v>0</x:v>
      </x:c>
      <x:c r="L104" s="8" t="n">
        <x:v>1</x:v>
      </x:c>
      <x:c r="M104" s="8" t="n">
        <x:v>0</x:v>
      </x:c>
      <x:c r="N104" s="7" t="str">
        <x:v>priority</x:v>
      </x:c>
      <x:c r="O104" s="7" t="str">
        <x:v>{"status":"draft","module":"memo","title":{"containsAny":["灭火器"]},"date":"2026-10-07","priority":"important"}</x:v>
      </x:c>
      <x:c r="P104" s="7" t="str">
        <x:v>{"status":"draft","reason":null,"draft":{"id":"e7899f69-5584-4210-9c97-ae9f940a1f4f","title":"检查灭火器到期","notes":"明天","dueDate":"2026-10-07","timezone":"Asia/Shanghai","priority":null,"dateText":"明天","warnings":["priority_missing"]},"module":"memo","fields":null}</x:v>
      </x:c>
      <x:c r="Q104" s="7" t="str">
        <x:v>{"intent":"single_task","module":"memo","title":"检查灭火器到期","notes":"明天","date_text":"明天","time_text":"无","priority":"high"}</x:v>
      </x:c>
      <x:c r="R104" s="8" t="n">
        <x:v>1</x:v>
      </x:c>
      <x:c r="S104" s="8" t="n">
        <x:v>1</x:v>
      </x:c>
      <x:c r="T104" s="8" t="n">
        <x:v>1</x:v>
      </x:c>
      <x:c r="U104" s="8" t="n">
        <x:v>1</x:v>
      </x:c>
      <x:c r="V104" s="7" t="str">
        <x:v>complete</x:v>
      </x:c>
    </x:row>
    <x:row r="105" ht="88" customHeight="1">
      <x:c r="A105" s="7" t="str">
        <x:v>mh4-schedule-zh-28</x:v>
      </x:c>
      <x:c r="B105" s="7" t="str">
        <x:v>schedule</x:v>
      </x:c>
      <x:c r="C105" s="7" t="str">
        <x:v>加明天上午的面试，再加后天下午的复试。</x:v>
      </x:c>
      <x:c r="D105" s="7" t="str">
        <x:v>clarification</x:v>
      </x:c>
      <x:c r="E105" s="7" t="str"/>
      <x:c r="F105" s="7" t="str">
        <x:v>draft</x:v>
      </x:c>
      <x:c r="G105" s="7" t="str">
        <x:v>schedule</x:v>
      </x:c>
      <x:c r="H105" s="8" t="n">
        <x:v>0</x:v>
      </x:c>
      <x:c r="I105" s="8" t="n">
        <x:v>0</x:v>
      </x:c>
      <x:c r="J105" s="8" t="n">
        <x:v>0</x:v>
      </x:c>
      <x:c r="K105" s="8" t="n">
        <x:v>0</x:v>
      </x:c>
      <x:c r="L105" s="8" t="n">
        <x:v>0</x:v>
      </x:c>
      <x:c r="M105" s="8" t="n">
        <x:v>0</x:v>
      </x:c>
      <x:c r="N105" s="7" t="str">
        <x:v>status, module</x:v>
      </x:c>
      <x:c r="O105" s="7" t="str">
        <x:v>{"status":"clarification","module":null}</x:v>
      </x:c>
      <x:c r="P105" s="7" t="str">
        <x:v>{"status":"draft","reason":null,"module":"schedule","draft":null,"fields":{"id":"d65bf162-0372-4de1-be9d-a8337e51ca60","title":"面试","notes":"","date":null,"time":null,"amount":null,"kind":null,"category":null,"account":null,"timezone":"Asia/Shanghai"}}</x:v>
      </x:c>
      <x:c r="Q105" s="7" t="str">
        <x:v>{"intent":"single_task","module":"schedule","title":"面试","notes":"","date_text":"明天上午","time_text":"12:00","priority":"normal"}</x:v>
      </x:c>
      <x:c r="R105" s="8" t="n">
        <x:v>1</x:v>
      </x:c>
      <x:c r="S105" s="8" t="n">
        <x:v>0</x:v>
      </x:c>
      <x:c r="T105" s="8" t="n">
        <x:v>0</x:v>
      </x:c>
      <x:c r="U105" s="8" t="n">
        <x:v>0</x:v>
      </x:c>
      <x:c r="V105" s="7" t="str">
        <x:v>multiple_actions</x:v>
      </x:c>
    </x:row>
    <x:row r="106" ht="88" customHeight="1">
      <x:c r="A106" s="7" t="str">
        <x:v>mh4-finance-zh-06</x:v>
      </x:c>
      <x:c r="B106" s="7" t="str">
        <x:v>finance</x:v>
      </x:c>
      <x:c r="C106" s="7" t="str">
        <x:v>今天奖学金800元进了银行卡，请新增收入。</x:v>
      </x:c>
      <x:c r="D106" s="7" t="str">
        <x:v>draft</x:v>
      </x:c>
      <x:c r="E106" s="7" t="str">
        <x:v>finance</x:v>
      </x:c>
      <x:c r="F106" s="7" t="str">
        <x:v>draft</x:v>
      </x:c>
      <x:c r="G106" s="7" t="str">
        <x:v>finance</x:v>
      </x:c>
      <x:c r="H106" s="8" t="n">
        <x:v>1</x:v>
      </x:c>
      <x:c r="I106" s="8" t="n">
        <x:v>6</x:v>
      </x:c>
      <x:c r="J106" s="8" t="n">
        <x:v>6</x:v>
      </x:c>
      <x:c r="K106" s="8" t="n">
        <x:v>1</x:v>
      </x:c>
      <x:c r="L106" s="8" t="n">
        <x:v>1</x:v>
      </x:c>
      <x:c r="M106" s="8" t="n">
        <x:v>1</x:v>
      </x:c>
      <x:c r="N106" s="7" t="str"/>
      <x:c r="O106" s="7" t="str">
        <x:v>{"status":"draft","module":"finance","title":{"containsAny":["奖学金"]},"amount":"800","kind":"income","category":"Scholarship","account":"Bank Card","date":"2026-10-06"}</x:v>
      </x:c>
      <x:c r="P106" s="7" t="str">
        <x:v>{"status":"draft","reason":null,"module":"finance","draft":null,"fields":{"id":"8f41a1fc-b479-4a1e-84a6-8694954e3107","title":"奖学金","notes":"800元","date":"2026-10-06","time":null,"amount":"800","kind":"income","category":"Scholarship","account":"Bank Card","timezone":"Asia/Shanghai"}}</x:v>
      </x:c>
      <x:c r="Q106" s="7" t="str">
        <x:v>{"intent":"single_task","module":"finance","title":"奖学金","notes":"800元","date_text":"今天","amount":"800","kind":"income","category":"Scholarship","account":"Bank Card"}</x:v>
      </x:c>
      <x:c r="R106" s="8" t="n">
        <x:v>1</x:v>
      </x:c>
      <x:c r="S106" s="8" t="n">
        <x:v>1</x:v>
      </x:c>
      <x:c r="T106" s="8" t="n">
        <x:v>1</x:v>
      </x:c>
      <x:c r="U106" s="8" t="n">
        <x:v>1</x:v>
      </x:c>
      <x:c r="V106" s="7" t="str">
        <x:v>complete</x:v>
      </x:c>
    </x:row>
    <x:row r="107" ht="88" customHeight="1">
      <x:c r="A107" s="7" t="str">
        <x:v>mh4-health-zh-10</x:v>
      </x:c>
      <x:c r="B107" s="7" t="str">
        <x:v>health</x:v>
      </x:c>
      <x:c r="C107" s="7" t="str">
        <x:v>我想确认今天是不是刷短视频太久了，显示各app用时就好。</x:v>
      </x:c>
      <x:c r="D107" s="7" t="str">
        <x:v>draft</x:v>
      </x:c>
      <x:c r="E107" s="7" t="str">
        <x:v>health</x:v>
      </x:c>
      <x:c r="F107" s="7" t="str">
        <x:v>clarification</x:v>
      </x:c>
      <x:c r="G107" s="7" t="str"/>
      <x:c r="H107" s="8" t="n">
        <x:v>0</x:v>
      </x:c>
      <x:c r="I107" s="8" t="n">
        <x:v>0</x:v>
      </x:c>
      <x:c r="J107" s="8" t="n">
        <x:v>0</x:v>
      </x:c>
      <x:c r="K107" s="8" t="n">
        <x:v>0</x:v>
      </x:c>
      <x:c r="L107" s="8" t="n">
        <x:v>1</x:v>
      </x:c>
      <x:c r="M107" s="8" t="n">
        <x:v>0</x:v>
      </x:c>
      <x:c r="N107" s="7" t="str">
        <x:v>status, module</x:v>
      </x:c>
      <x:c r="O107" s="7" t="str">
        <x:v>{"status":"draft","module":"health"}</x:v>
      </x:c>
      <x:c r="P107" s="7" t="str">
        <x:v>{"status":"clarification","reason":"health_unsupported","module":null,"draft":null,"fields":null}</x:v>
      </x:c>
      <x:c r="Q107" s="7" t="str">
        <x:v>{"intent":"single_task","module":"health","title":"查看手机使用时长","notes":""}</x:v>
      </x:c>
      <x:c r="R107" s="8" t="n">
        <x:v>1</x:v>
      </x:c>
      <x:c r="S107" s="8" t="n">
        <x:v>1</x:v>
      </x:c>
      <x:c r="T107" s="8" t="n">
        <x:v>0</x:v>
      </x:c>
      <x:c r="U107" s="8" t="n">
        <x:v>0</x:v>
      </x:c>
      <x:c r="V107" s="7" t="str">
        <x:v>app_breakdown</x:v>
      </x:c>
    </x:row>
    <x:row r="108" ht="88" customHeight="1">
      <x:c r="A108" s="7" t="str">
        <x:v>mh4-memo-zh-30</x:v>
      </x:c>
      <x:c r="B108" s="7" t="str">
        <x:v>memo</x:v>
      </x:c>
      <x:c r="C108" s="7" t="str">
        <x:v>晚安啦，今天辛苦了。</x:v>
      </x:c>
      <x:c r="D108" s="7" t="str">
        <x:v>clarification</x:v>
      </x:c>
      <x:c r="E108" s="7" t="str"/>
      <x:c r="F108" s="7" t="str">
        <x:v>clarification</x:v>
      </x:c>
      <x:c r="G108" s="7" t="str"/>
      <x:c r="H108" s="8" t="n">
        <x:v>1</x:v>
      </x:c>
      <x:c r="I108" s="8" t="n">
        <x:v>0</x:v>
      </x:c>
      <x:c r="J108" s="8" t="n">
        <x:v>0</x:v>
      </x:c>
      <x:c r="K108" s="8" t="n">
        <x:v>1</x:v>
      </x:c>
      <x:c r="L108" s="8" t="n">
        <x:v>0</x:v>
      </x:c>
      <x:c r="M108" s="8" t="n">
        <x:v>0</x:v>
      </x:c>
      <x:c r="N108" s="7" t="str"/>
      <x:c r="O108" s="7" t="str">
        <x:v>{"status":"clarification","module":null}</x:v>
      </x:c>
      <x:c r="P108" s="7" t="str">
        <x:v>{"status":"clarification","reason":"single_task","module":null,"draft":null,"fields":null}</x:v>
      </x:c>
      <x:c r="Q108" s="7" t="str">
        <x:v>{"intent":"single_task","module":"unclear","title":null,"notes":"晚安，今天辛苦了"}</x:v>
      </x:c>
      <x:c r="R108" s="8" t="n">
        <x:v>1</x:v>
      </x:c>
      <x:c r="S108" s="8" t="n">
        <x:v>1</x:v>
      </x:c>
      <x:c r="T108" s="8" t="n">
        <x:v>0</x:v>
      </x:c>
      <x:c r="U108" s="8" t="n">
        <x:v>0</x:v>
      </x:c>
      <x:c r="V108" s="7" t="str">
        <x:v>smalltalk</x:v>
      </x:c>
    </x:row>
    <x:row r="109" ht="88" customHeight="1">
      <x:c r="A109" s="7" t="str">
        <x:v>mh4-finance-zh-01</x:v>
      </x:c>
      <x:c r="B109" s="7" t="str">
        <x:v>finance</x:v>
      </x:c>
      <x:c r="C109" s="7" t="str">
        <x:v>刚才用支付宝买了份炒饭，今天花22.80元。</x:v>
      </x:c>
      <x:c r="D109" s="7" t="str">
        <x:v>draft</x:v>
      </x:c>
      <x:c r="E109" s="7" t="str">
        <x:v>finance</x:v>
      </x:c>
      <x:c r="F109" s="7" t="str">
        <x:v>draft</x:v>
      </x:c>
      <x:c r="G109" s="7" t="str">
        <x:v>finance</x:v>
      </x:c>
      <x:c r="H109" s="8" t="n">
        <x:v>1</x:v>
      </x:c>
      <x:c r="I109" s="8" t="n">
        <x:v>6</x:v>
      </x:c>
      <x:c r="J109" s="8" t="n">
        <x:v>6</x:v>
      </x:c>
      <x:c r="K109" s="8" t="n">
        <x:v>1</x:v>
      </x:c>
      <x:c r="L109" s="8" t="n">
        <x:v>1</x:v>
      </x:c>
      <x:c r="M109" s="8" t="n">
        <x:v>1</x:v>
      </x:c>
      <x:c r="N109" s="7" t="str"/>
      <x:c r="O109" s="7" t="str">
        <x:v>{"status":"draft","module":"finance","title":{"containsAny":["炒饭"]},"amount":"22.80","kind":"expense","category":"Food &amp; Drinks","account":"Alipay","date":"2026-10-06"}</x:v>
      </x:c>
      <x:c r="P109" s="7" t="str">
        <x:v>{"status":"draft","reason":null,"module":"finance","draft":null,"fields":{"id":"b535b8b6-86eb-4a0f-8688-02ef9ffeadea","title":"炒饭","notes":"","date":"2026-10-06","time":null,"amount":"22.80","kind":"expense","category":"Food &amp; Drinks","account":"Alipay","timezone":"Asia/Shanghai"}}</x:v>
      </x:c>
      <x:c r="Q109" s="7" t="str">
        <x:v>{"intent":"single_task","module":"finance","title":"炒饭","notes":"","date_text":"今天","amount":"22.80","kind":"expense","category":"Food &amp; Drinks","account":"Alipay"}</x:v>
      </x:c>
      <x:c r="R109" s="8" t="n">
        <x:v>1</x:v>
      </x:c>
      <x:c r="S109" s="8" t="n">
        <x:v>1</x:v>
      </x:c>
      <x:c r="T109" s="8" t="n">
        <x:v>1</x:v>
      </x:c>
      <x:c r="U109" s="8" t="n">
        <x:v>1</x:v>
      </x:c>
      <x:c r="V109" s="7" t="str">
        <x:v>colloquial</x:v>
      </x:c>
    </x:row>
    <x:row r="110" ht="88" customHeight="1">
      <x:c r="A110" s="7" t="str">
        <x:v>mh4-memo-zh-03</x:v>
      </x:c>
      <x:c r="B110" s="7" t="str">
        <x:v>memo</x:v>
      </x:c>
      <x:c r="C110" s="7" t="str">
        <x:v>备忘一下：地下车库出口在B座的负二层。</x:v>
      </x:c>
      <x:c r="D110" s="7" t="str">
        <x:v>draft</x:v>
      </x:c>
      <x:c r="E110" s="7" t="str">
        <x:v>memo</x:v>
      </x:c>
      <x:c r="F110" s="7" t="str">
        <x:v>draft</x:v>
      </x:c>
      <x:c r="G110" s="7" t="str">
        <x:v>memo</x:v>
      </x:c>
      <x:c r="H110" s="8" t="n">
        <x:v>1</x:v>
      </x:c>
      <x:c r="I110" s="8" t="n">
        <x:v>1</x:v>
      </x:c>
      <x:c r="J110" s="8" t="n">
        <x:v>1</x:v>
      </x:c>
      <x:c r="K110" s="8" t="n">
        <x:v>1</x:v>
      </x:c>
      <x:c r="L110" s="8" t="n">
        <x:v>1</x:v>
      </x:c>
      <x:c r="M110" s="8" t="n">
        <x:v>1</x:v>
      </x:c>
      <x:c r="N110" s="7" t="str"/>
      <x:c r="O110" s="7" t="str">
        <x:v>{"status":"draft","module":"memo","title":{"containsAny":["车库","出口"]},"date":null,"priority":null}</x:v>
      </x:c>
      <x:c r="P110" s="7" t="str">
        <x:v>{"status":"draft","reason":null,"draft":{"id":"5e9b4d21-6d9c-4645-b690-eda0a246c74a","title":"地下车库出口","notes":"B座的负二层","dueDate":null,"timezone":"Asia/Shanghai","priority":null,"dateText":null,"warnings":["date_missing","priority_missing"]},"module":"memo","fields":null}</x:v>
      </x:c>
      <x:c r="Q110" s="7" t="str">
        <x:v>{"intent":"single_task","module":"memo","title":"地下车库出口","notes":"B座的负二层","date_text":"null","time_text":"null"}</x:v>
      </x:c>
      <x:c r="R110" s="8" t="n">
        <x:v>1</x:v>
      </x:c>
      <x:c r="S110" s="8" t="n">
        <x:v>1</x:v>
      </x:c>
      <x:c r="T110" s="8" t="n">
        <x:v>1</x:v>
      </x:c>
      <x:c r="U110" s="8" t="n">
        <x:v>1</x:v>
      </x:c>
      <x:c r="V110" s="7" t="str">
        <x:v>factual_note</x:v>
      </x:c>
    </x:row>
    <x:row r="111" ht="88" customHeight="1">
      <x:c r="A111" s="7" t="str">
        <x:v>mh4-memo-zh-28</x:v>
      </x:c>
      <x:c r="B111" s="7" t="str">
        <x:v>memo</x:v>
      </x:c>
      <x:c r="C111" s="7" t="str">
        <x:v>记得还足球，再安排星期六下午的球赛日程。</x:v>
      </x:c>
      <x:c r="D111" s="7" t="str">
        <x:v>clarification</x:v>
      </x:c>
      <x:c r="E111" s="7" t="str"/>
      <x:c r="F111" s="7" t="str">
        <x:v>draft</x:v>
      </x:c>
      <x:c r="G111" s="7" t="str">
        <x:v>schedule</x:v>
      </x:c>
      <x:c r="H111" s="8" t="n">
        <x:v>0</x:v>
      </x:c>
      <x:c r="I111" s="8" t="n">
        <x:v>0</x:v>
      </x:c>
      <x:c r="J111" s="8" t="n">
        <x:v>0</x:v>
      </x:c>
      <x:c r="K111" s="8" t="n">
        <x:v>0</x:v>
      </x:c>
      <x:c r="L111" s="8" t="n">
        <x:v>0</x:v>
      </x:c>
      <x:c r="M111" s="8" t="n">
        <x:v>0</x:v>
      </x:c>
      <x:c r="N111" s="7" t="str">
        <x:v>status, module</x:v>
      </x:c>
      <x:c r="O111" s="7" t="str">
        <x:v>{"status":"clarification","module":null}</x:v>
      </x:c>
      <x:c r="P111" s="7" t="str">
        <x:v>{"status":"draft","reason":null,"module":"schedule","draft":null,"fields":{"id":"7c345ed9-edee-4b33-9500-4cce3ac82c9e","title":"安排球赛","notes":"记得还足球","date":null,"time":null,"amount":null,"kind":null,"category":null,"account":null,"timezone":"Asia/Shanghai"}}</x:v>
      </x:c>
      <x:c r="Q111" s="7" t="str">
        <x:v>{"intent":"single_task","module":"schedule","title":"安排球赛","notes":"记得还足球","date_text":"星期六","time_text":"下午"}</x:v>
      </x:c>
      <x:c r="R111" s="8" t="n">
        <x:v>1</x:v>
      </x:c>
      <x:c r="S111" s="8" t="n">
        <x:v>0</x:v>
      </x:c>
      <x:c r="T111" s="8" t="n">
        <x:v>0</x:v>
      </x:c>
      <x:c r="U111" s="8" t="n">
        <x:v>0</x:v>
      </x:c>
      <x:c r="V111" s="7" t="str">
        <x:v>multiple_actions</x:v>
      </x:c>
    </x:row>
    <x:row r="112" ht="88" customHeight="1">
      <x:c r="A112" s="7" t="str">
        <x:v>mh4-memo-zh-09</x:v>
      </x:c>
      <x:c r="B112" s="7" t="str">
        <x:v>memo</x:v>
      </x:c>
      <x:c r="C112" s="7" t="str">
        <x:v>今晚之前把reading notes上传，high priority，放备忘。</x:v>
      </x:c>
      <x:c r="D112" s="7" t="str">
        <x:v>draft</x:v>
      </x:c>
      <x:c r="E112" s="7" t="str">
        <x:v>memo</x:v>
      </x:c>
      <x:c r="F112" s="7" t="str">
        <x:v>draft</x:v>
      </x:c>
      <x:c r="G112" s="7" t="str">
        <x:v>memo</x:v>
      </x:c>
      <x:c r="H112" s="8" t="n">
        <x:v>1</x:v>
      </x:c>
      <x:c r="I112" s="8" t="n">
        <x:v>1</x:v>
      </x:c>
      <x:c r="J112" s="8" t="n">
        <x:v>1</x:v>
      </x:c>
      <x:c r="K112" s="8" t="n">
        <x:v>0</x:v>
      </x:c>
      <x:c r="L112" s="8" t="n">
        <x:v>1</x:v>
      </x:c>
      <x:c r="M112" s="8" t="n">
        <x:v>0</x:v>
      </x:c>
      <x:c r="N112" s="7" t="str">
        <x:v>date</x:v>
      </x:c>
      <x:c r="O112" s="7" t="str">
        <x:v>{"status":"draft","module":"memo","title":{"containsAny":["reading","笔记","notes"]},"date":"2026-10-06","priority":"important"}</x:v>
      </x:c>
      <x:c r="P112" s="7" t="str">
        <x:v>{"status":"draft","reason":null,"draft":{"id":"9e9e799d-7888-423b-a6ff-17214c7c7ab6","title":"reading notes","notes":"upload","dueDate":null,"timezone":"Asia/Shanghai","priority":"important","dateText":"今晚之前","warnings":["date_needs_review"]},"module":"memo","fields":null}</x:v>
      </x:c>
      <x:c r="Q112" s="7" t="str">
        <x:v>{"intent":"single_task","module":"memo","title":"reading notes","notes":"upload","date_text":"今晚之前","time_text":"high priority","priority":"important"}</x:v>
      </x:c>
      <x:c r="R112" s="8" t="n">
        <x:v>1</x:v>
      </x:c>
      <x:c r="S112" s="8" t="n">
        <x:v>1</x:v>
      </x:c>
      <x:c r="T112" s="8" t="n">
        <x:v>1</x:v>
      </x:c>
      <x:c r="U112" s="8" t="n">
        <x:v>0</x:v>
      </x:c>
      <x:c r="V112" s="7" t="str">
        <x:v>mixed_language</x:v>
      </x:c>
    </x:row>
    <x:row r="113" ht="88" customHeight="1">
      <x:c r="A113" s="7" t="str">
        <x:v>mh4-health-zh-15</x:v>
      </x:c>
      <x:c r="B113" s="7" t="str">
        <x:v>health</x:v>
      </x:c>
      <x:c r="C113" s="7" t="str">
        <x:v>在所选模块中查看今天各应用使用时间。</x:v>
      </x:c>
      <x:c r="D113" s="7" t="str">
        <x:v>draft</x:v>
      </x:c>
      <x:c r="E113" s="7" t="str">
        <x:v>health</x:v>
      </x:c>
      <x:c r="F113" s="7" t="str">
        <x:v>draft</x:v>
      </x:c>
      <x:c r="G113" s="7" t="str">
        <x:v>health</x:v>
      </x:c>
      <x:c r="H113" s="8" t="n">
        <x:v>1</x:v>
      </x:c>
      <x:c r="I113" s="8" t="n">
        <x:v>0</x:v>
      </x:c>
      <x:c r="J113" s="8" t="n">
        <x:v>0</x:v>
      </x:c>
      <x:c r="K113" s="8" t="n">
        <x:v>1</x:v>
      </x:c>
      <x:c r="L113" s="8" t="n">
        <x:v>1</x:v>
      </x:c>
      <x:c r="M113" s="8" t="n">
        <x:v>1</x:v>
      </x:c>
      <x:c r="N113" s="7" t="str"/>
      <x:c r="O113" s="7" t="str">
        <x:v>{"status":"draft","module":"health"}</x:v>
      </x:c>
      <x:c r="P113" s="7" t="str">
        <x:v>{"status":"draft","reason":null,"module":"health","draft":null,"fields":{"id":"2b506350-ccd2-4720-af9f-8b8b59a4fef1","title":"查看手机使用情况","notes":"","date":"2026-10-06","time":null,"amount":null,"kind":null,"category":null,"account":null,"timezone":"Asia/Shanghai"}}</x:v>
      </x:c>
      <x:c r="Q113" s="7" t="str">
        <x:v>{"intent":"single_task","module":"health","title":"查看各应用使用时间","notes":""}</x:v>
      </x:c>
      <x:c r="R113" s="8" t="n">
        <x:v>1</x:v>
      </x:c>
      <x:c r="S113" s="8" t="n">
        <x:v>1</x:v>
      </x:c>
      <x:c r="T113" s="8" t="n">
        <x:v>0</x:v>
      </x:c>
      <x:c r="U113" s="8" t="n">
        <x:v>0</x:v>
      </x:c>
      <x:c r="V113" s="7" t="str">
        <x:v>module_override</x:v>
      </x:c>
    </x:row>
    <x:row r="114" ht="88" customHeight="1">
      <x:c r="A114" s="7" t="str">
        <x:v>mh4-health-zh-14</x:v>
      </x:c>
      <x:c r="B114" s="7" t="str">
        <x:v>health</x:v>
      </x:c>
      <x:c r="C114" s="7" t="str">
        <x:v>今天都把时间花在哪些应用上了？查看本机使用情况。</x:v>
      </x:c>
      <x:c r="D114" s="7" t="str">
        <x:v>draft</x:v>
      </x:c>
      <x:c r="E114" s="7" t="str">
        <x:v>health</x:v>
      </x:c>
      <x:c r="F114" s="7" t="str">
        <x:v>draft</x:v>
      </x:c>
      <x:c r="G114" s="7" t="str">
        <x:v>health</x:v>
      </x:c>
      <x:c r="H114" s="8" t="n">
        <x:v>1</x:v>
      </x:c>
      <x:c r="I114" s="8" t="n">
        <x:v>0</x:v>
      </x:c>
      <x:c r="J114" s="8" t="n">
        <x:v>0</x:v>
      </x:c>
      <x:c r="K114" s="8" t="n">
        <x:v>1</x:v>
      </x:c>
      <x:c r="L114" s="8" t="n">
        <x:v>1</x:v>
      </x:c>
      <x:c r="M114" s="8" t="n">
        <x:v>1</x:v>
      </x:c>
      <x:c r="N114" s="7" t="str"/>
      <x:c r="O114" s="7" t="str">
        <x:v>{"status":"draft","module":"health"}</x:v>
      </x:c>
      <x:c r="P114" s="7" t="str">
        <x:v>{"status":"draft","reason":null,"module":"health","draft":null,"fields":{"id":"750ccf82-ba1d-4898-9926-bf13d54165a8","title":"查看手机使用情况","notes":"时间花在哪些应用上","date":"2026-10-06","time":null,"amount":null,"kind":null,"category":null,"account":null,"timezone":"Asia/Shanghai"}}</x:v>
      </x:c>
      <x:c r="Q114" s="7" t="str">
        <x:v>{"intent":"single_task","module":"schedule","title":"查看本机使用情况","notes":"时间花在哪些应用上"}</x:v>
      </x:c>
      <x:c r="R114" s="8" t="n">
        <x:v>1</x:v>
      </x:c>
      <x:c r="S114" s="8" t="n">
        <x:v>0</x:v>
      </x:c>
      <x:c r="T114" s="8" t="n">
        <x:v>0</x:v>
      </x:c>
      <x:c r="U114" s="8" t="n">
        <x:v>0</x:v>
      </x:c>
      <x:c r="V114" s="7" t="str">
        <x:v>app_breakdown</x:v>
      </x:c>
    </x:row>
    <x:row r="115" ht="88" customHeight="1">
      <x:c r="A115" s="7" t="str">
        <x:v>mh4-schedule-zh-20</x:v>
      </x:c>
      <x:c r="B115" s="7" t="str">
        <x:v>schedule</x:v>
      </x:c>
      <x:c r="C115" s="7" t="str">
        <x:v>给日历新增明天12:00的午餐会。</x:v>
      </x:c>
      <x:c r="D115" s="7" t="str">
        <x:v>draft</x:v>
      </x:c>
      <x:c r="E115" s="7" t="str">
        <x:v>schedule</x:v>
      </x:c>
      <x:c r="F115" s="7" t="str">
        <x:v>draft</x:v>
      </x:c>
      <x:c r="G115" s="7" t="str">
        <x:v>schedule</x:v>
      </x:c>
      <x:c r="H115" s="8" t="n">
        <x:v>1</x:v>
      </x:c>
      <x:c r="I115" s="8" t="n">
        <x:v>2</x:v>
      </x:c>
      <x:c r="J115" s="8" t="n">
        <x:v>2</x:v>
      </x:c>
      <x:c r="K115" s="8" t="n">
        <x:v>1</x:v>
      </x:c>
      <x:c r="L115" s="8" t="n">
        <x:v>1</x:v>
      </x:c>
      <x:c r="M115" s="8" t="n">
        <x:v>1</x:v>
      </x:c>
      <x:c r="N115" s="7" t="str"/>
      <x:c r="O115" s="7" t="str">
        <x:v>{"status":"draft","module":"schedule","title":{"containsAny":["午餐"]},"date":"2027-05-01","time":"12:00"}</x:v>
      </x:c>
      <x:c r="P115" s="7" t="str">
        <x:v>{"status":"draft","reason":null,"module":"schedule","draft":null,"fields":{"id":"d374c6fd-70e4-40e1-bcaf-5b5805daf9d2","title":"午餐会","notes":"明天12:00","date":"2027-05-01","time":"12:00","amount":null,"kind":null,"category":null,"account":null,"timezone":"Asia/Shanghai"}}</x:v>
      </x:c>
      <x:c r="Q115" s="7" t="str">
        <x:v>{"intent":"single_task","module":"schedule","title":"午餐会","notes":"明天12:00","date_text":"明天","time_text":"12:00"}</x:v>
      </x:c>
      <x:c r="R115" s="8" t="n">
        <x:v>1</x:v>
      </x:c>
      <x:c r="S115" s="8" t="n">
        <x:v>1</x:v>
      </x:c>
      <x:c r="T115" s="8" t="n">
        <x:v>1</x:v>
      </x:c>
      <x:c r="U115" s="8" t="n">
        <x:v>1</x:v>
      </x:c>
      <x:c r="V115" s="7" t="str">
        <x:v>month_boundary</x:v>
      </x:c>
    </x:row>
    <x:row r="116" ht="88" customHeight="1">
      <x:c r="A116" s="7" t="str">
        <x:v>mh4-health-zh-02</x:v>
      </x:c>
      <x:c r="B116" s="7" t="str">
        <x:v>health</x:v>
      </x:c>
      <x:c r="C116" s="7" t="str">
        <x:v>瞅一眼我今天各软件分别用了多长时间。</x:v>
      </x:c>
      <x:c r="D116" s="7" t="str">
        <x:v>draft</x:v>
      </x:c>
      <x:c r="E116" s="7" t="str">
        <x:v>health</x:v>
      </x:c>
      <x:c r="F116" s="7" t="str">
        <x:v>draft</x:v>
      </x:c>
      <x:c r="G116" s="7" t="str">
        <x:v>health</x:v>
      </x:c>
      <x:c r="H116" s="8" t="n">
        <x:v>1</x:v>
      </x:c>
      <x:c r="I116" s="8" t="n">
        <x:v>0</x:v>
      </x:c>
      <x:c r="J116" s="8" t="n">
        <x:v>0</x:v>
      </x:c>
      <x:c r="K116" s="8" t="n">
        <x:v>1</x:v>
      </x:c>
      <x:c r="L116" s="8" t="n">
        <x:v>1</x:v>
      </x:c>
      <x:c r="M116" s="8" t="n">
        <x:v>1</x:v>
      </x:c>
      <x:c r="N116" s="7" t="str"/>
      <x:c r="O116" s="7" t="str">
        <x:v>{"status":"draft","module":"health"}</x:v>
      </x:c>
      <x:c r="P116" s="7" t="str">
        <x:v>{"status":"draft","reason":null,"module":"health","draft":null,"fields":{"id":"dc040c18-79df-4fbc-9765-62239e607b5a","title":"查看手机使用情况","notes":"","date":"2026-10-06","time":null,"amount":null,"kind":null,"category":null,"account":null,"timezone":"Asia/Shanghai"}}</x:v>
      </x:c>
      <x:c r="Q116" s="7" t="str">
        <x:v>{"intent":"single_task","module":"health","title":"查看手机使用时长","notes":""}</x:v>
      </x:c>
      <x:c r="R116" s="8" t="n">
        <x:v>1</x:v>
      </x:c>
      <x:c r="S116" s="8" t="n">
        <x:v>1</x:v>
      </x:c>
      <x:c r="T116" s="8" t="n">
        <x:v>0</x:v>
      </x:c>
      <x:c r="U116" s="8" t="n">
        <x:v>0</x:v>
      </x:c>
      <x:c r="V116" s="7" t="str">
        <x:v>colloquial</x:v>
      </x:c>
    </x:row>
    <x:row r="117" ht="88" customHeight="1">
      <x:c r="A117" s="7" t="str">
        <x:v>mh4-schedule-zh-15</x:v>
      </x:c>
      <x:c r="B117" s="7" t="str">
        <x:v>schedule</x:v>
      </x:c>
      <x:c r="C117" s="7" t="str">
        <x:v>明天14:20的修伞取件，存进日历。</x:v>
      </x:c>
      <x:c r="D117" s="7" t="str">
        <x:v>draft</x:v>
      </x:c>
      <x:c r="E117" s="7" t="str">
        <x:v>schedule</x:v>
      </x:c>
      <x:c r="F117" s="7" t="str">
        <x:v>draft</x:v>
      </x:c>
      <x:c r="G117" s="7" t="str">
        <x:v>schedule</x:v>
      </x:c>
      <x:c r="H117" s="8" t="n">
        <x:v>1</x:v>
      </x:c>
      <x:c r="I117" s="8" t="n">
        <x:v>2</x:v>
      </x:c>
      <x:c r="J117" s="8" t="n">
        <x:v>2</x:v>
      </x:c>
      <x:c r="K117" s="8" t="n">
        <x:v>1</x:v>
      </x:c>
      <x:c r="L117" s="8" t="n">
        <x:v>1</x:v>
      </x:c>
      <x:c r="M117" s="8" t="n">
        <x:v>1</x:v>
      </x:c>
      <x:c r="N117" s="7" t="str"/>
      <x:c r="O117" s="7" t="str">
        <x:v>{"status":"draft","module":"schedule","title":{"containsAny":["修伞"]},"date":"2026-10-07","time":"14:20"}</x:v>
      </x:c>
      <x:c r="P117" s="7" t="str">
        <x:v>{"status":"draft","reason":null,"module":"schedule","draft":null,"fields":{"id":"59cc78f8-0e76-4beb-bb85-3128ddc78a05","title":"修伞取件","notes":"存进日历","date":"2026-10-07","time":"14:20","amount":null,"kind":null,"category":null,"account":null,"timezone":"Asia/Shanghai"}}</x:v>
      </x:c>
      <x:c r="Q117" s="7" t="str">
        <x:v>{"intent":"single_task","module":"schedule","title":"取件","notes":"存进日历","date_text":"明天","time_text":"14:20"}</x:v>
      </x:c>
      <x:c r="R117" s="8" t="n">
        <x:v>1</x:v>
      </x:c>
      <x:c r="S117" s="8" t="n">
        <x:v>1</x:v>
      </x:c>
      <x:c r="T117" s="8" t="n">
        <x:v>1</x:v>
      </x:c>
      <x:c r="U117" s="8" t="n">
        <x:v>1</x:v>
      </x:c>
      <x:c r="V117" s="7" t="str">
        <x:v>specific_subject</x:v>
      </x:c>
    </x:row>
    <x:row r="118" ht="88" customHeight="1">
      <x:c r="A118" s="7" t="str">
        <x:v>mh4-schedule-zh-24</x:v>
      </x:c>
      <x:c r="B118" s="7" t="str">
        <x:v>schedule</x:v>
      </x:c>
      <x:c r="C118" s="7" t="str">
        <x:v>明天和“下周二”乐队排练，下午5点，只把明天作为日期。</x:v>
      </x:c>
      <x:c r="D118" s="7" t="str">
        <x:v>draft</x:v>
      </x:c>
      <x:c r="E118" s="7" t="str">
        <x:v>schedule</x:v>
      </x:c>
      <x:c r="F118" s="7" t="str">
        <x:v>draft</x:v>
      </x:c>
      <x:c r="G118" s="7" t="str">
        <x:v>schedule</x:v>
      </x:c>
      <x:c r="H118" s="8" t="n">
        <x:v>1</x:v>
      </x:c>
      <x:c r="I118" s="8" t="n">
        <x:v>1</x:v>
      </x:c>
      <x:c r="J118" s="8" t="n">
        <x:v>2</x:v>
      </x:c>
      <x:c r="K118" s="8" t="n">
        <x:v>0</x:v>
      </x:c>
      <x:c r="L118" s="8" t="n">
        <x:v>1</x:v>
      </x:c>
      <x:c r="M118" s="8" t="n">
        <x:v>0</x:v>
      </x:c>
      <x:c r="N118" s="7" t="str">
        <x:v>date</x:v>
      </x:c>
      <x:c r="O118" s="7" t="str">
        <x:v>{"status":"draft","module":"schedule","title":{"containsAny":["乐队","排练"]},"date":"2026-10-07","time":"17:00"}</x:v>
      </x:c>
      <x:c r="P118" s="7" t="str">
        <x:v>{"status":"draft","reason":null,"module":"schedule","draft":null,"fields":{"id":"4b68cac3-b998-44d4-96da-aa12ee3a33b2","title":"乐队排练","notes":"下午5点","date":null,"time":"17:00","amount":null,"kind":null,"category":null,"account":null,"timezone":"Asia/Shanghai"}}</x:v>
      </x:c>
      <x:c r="Q118" s="7" t="str">
        <x:v>{"intent":"single_task","module":"schedule","title":"乐队排练","notes":"下午5点","date_text":"明天"}</x:v>
      </x:c>
      <x:c r="R118" s="8" t="n">
        <x:v>1</x:v>
      </x:c>
      <x:c r="S118" s="8" t="n">
        <x:v>1</x:v>
      </x:c>
      <x:c r="T118" s="8" t="n">
        <x:v>1</x:v>
      </x:c>
      <x:c r="U118" s="8" t="n">
        <x:v>0</x:v>
      </x:c>
      <x:c r="V118" s="7" t="str">
        <x:v>quoted_date</x:v>
      </x:c>
    </x:row>
    <x:row r="119" ht="88" customHeight="1">
      <x:c r="A119" s="7" t="str">
        <x:v>mh4-health-zh-21</x:v>
      </x:c>
      <x:c r="B119" s="7" t="str">
        <x:v>health</x:v>
      </x:c>
      <x:c r="C119" s="7" t="str">
        <x:v>今天体温37.1，帮我记录到Health。</x:v>
      </x:c>
      <x:c r="D119" s="7" t="str">
        <x:v>clarification</x:v>
      </x:c>
      <x:c r="E119" s="7" t="str"/>
      <x:c r="F119" s="7" t="str"/>
      <x:c r="G119" s="7" t="str"/>
      <x:c r="H119" s="8" t="n">
        <x:v>0</x:v>
      </x:c>
      <x:c r="I119" s="8" t="n">
        <x:v>0</x:v>
      </x:c>
      <x:c r="J119" s="8" t="n">
        <x:v>0</x:v>
      </x:c>
      <x:c r="K119" s="8" t="n">
        <x:v>0</x:v>
      </x:c>
      <x:c r="L119" s="8" t="n">
        <x:v>0</x:v>
      </x:c>
      <x:c r="M119" s="8" t="n">
        <x:v>0</x:v>
      </x:c>
      <x:c r="N119" s="7" t="str">
        <x:v>invalid_model_output</x:v>
      </x:c>
      <x:c r="O119" s="7" t="str">
        <x:v>{"status":"clarification","module":null}</x:v>
      </x:c>
      <x:c r="P119" s="7" t="str">
        <x:v>{}</x:v>
      </x:c>
      <x:c r="Q119" s="7" t="str">
        <x:v>{"intent":"single_task","module":"health","title":"体温记录","notes":"","date_text":"今天","time_text":"无","temperature":"37.1","kind":"Others","category":"Health","account":"无"}</x:v>
      </x:c>
      <x:c r="R119" s="8" t="n">
        <x:v>1</x:v>
      </x:c>
      <x:c r="S119" s="8" t="n">
        <x:v>0</x:v>
      </x:c>
      <x:c r="T119" s="8" t="n">
        <x:v>0</x:v>
      </x:c>
      <x:c r="U119" s="8" t="n">
        <x:v>0</x:v>
      </x:c>
      <x:c r="V119" s="7" t="str">
        <x:v>body_logging</x:v>
      </x:c>
    </x:row>
    <x:row r="120" ht="88" customHeight="1">
      <x:c r="A120" s="7" t="str">
        <x:v>mh4-schedule-zh-11</x:v>
      </x:c>
      <x:c r="B120" s="7" t="str">
        <x:v>schedule</x:v>
      </x:c>
      <x:c r="C120" s="7" t="str">
        <x:v>周五的晚餐聚会，要么18点要么19点，时间还不确定。</x:v>
      </x:c>
      <x:c r="D120" s="7" t="str">
        <x:v>draft</x:v>
      </x:c>
      <x:c r="E120" s="7" t="str">
        <x:v>schedule</x:v>
      </x:c>
      <x:c r="F120" s="7" t="str">
        <x:v>draft</x:v>
      </x:c>
      <x:c r="G120" s="7" t="str">
        <x:v>schedule</x:v>
      </x:c>
      <x:c r="H120" s="8" t="n">
        <x:v>1</x:v>
      </x:c>
      <x:c r="I120" s="8" t="n">
        <x:v>1</x:v>
      </x:c>
      <x:c r="J120" s="8" t="n">
        <x:v>2</x:v>
      </x:c>
      <x:c r="K120" s="8" t="n">
        <x:v>0</x:v>
      </x:c>
      <x:c r="L120" s="8" t="n">
        <x:v>1</x:v>
      </x:c>
      <x:c r="M120" s="8" t="n">
        <x:v>0</x:v>
      </x:c>
      <x:c r="N120" s="7" t="str">
        <x:v>date</x:v>
      </x:c>
      <x:c r="O120" s="7" t="str">
        <x:v>{"status":"draft","module":"schedule","title":{"containsAny":["晚餐","聚会"]},"date":"2026-10-09","time":null}</x:v>
      </x:c>
      <x:c r="P120" s="7" t="str">
        <x:v>{"status":"draft","reason":null,"module":"schedule","draft":null,"fields":{"id":"5c488fad-1efc-412c-bc5b-6c8b9945671f","title":"晚餐聚会","notes":"周五","date":null,"time":null,"amount":null,"kind":null,"category":null,"account":null,"timezone":"Asia/Shanghai"}}</x:v>
      </x:c>
      <x:c r="Q120" s="7" t="str">
        <x:v>{"intent":"single_task","module":"schedule","title":"晚餐聚会","notes":"周五","time_text":"18:00 or 19:00"}</x:v>
      </x:c>
      <x:c r="R120" s="8" t="n">
        <x:v>1</x:v>
      </x:c>
      <x:c r="S120" s="8" t="n">
        <x:v>1</x:v>
      </x:c>
      <x:c r="T120" s="8" t="n">
        <x:v>1</x:v>
      </x:c>
      <x:c r="U120" s="8" t="n">
        <x:v>0</x:v>
      </x:c>
      <x:c r="V120" s="7" t="str">
        <x:v>uncertain_time</x:v>
      </x:c>
    </x:row>
    <x:row r="121" ht="88" customHeight="1">
      <x:c r="A121" s="7" t="str">
        <x:v>mh4-finance-zh-14</x:v>
      </x:c>
      <x:c r="B121" s="7" t="str">
        <x:v>finance</x:v>
      </x:c>
      <x:c r="C121" s="7" t="str">
        <x:v>记一笔咖啡支出：今天现金支付零元。</x:v>
      </x:c>
      <x:c r="D121" s="7" t="str">
        <x:v>draft</x:v>
      </x:c>
      <x:c r="E121" s="7" t="str">
        <x:v>finance</x:v>
      </x:c>
      <x:c r="F121" s="7" t="str">
        <x:v>draft</x:v>
      </x:c>
      <x:c r="G121" s="7" t="str">
        <x:v>finance</x:v>
      </x:c>
      <x:c r="H121" s="8" t="n">
        <x:v>1</x:v>
      </x:c>
      <x:c r="I121" s="8" t="n">
        <x:v>6</x:v>
      </x:c>
      <x:c r="J121" s="8" t="n">
        <x:v>6</x:v>
      </x:c>
      <x:c r="K121" s="8" t="n">
        <x:v>1</x:v>
      </x:c>
      <x:c r="L121" s="8" t="n">
        <x:v>1</x:v>
      </x:c>
      <x:c r="M121" s="8" t="n">
        <x:v>1</x:v>
      </x:c>
      <x:c r="N121" s="7" t="str"/>
      <x:c r="O121" s="7" t="str">
        <x:v>{"status":"draft","module":"finance","title":{"containsAny":["咖啡"]},"amount":null,"kind":"expense","category":"Food &amp; Drinks","account":"Cash","date":"2026-10-06"}</x:v>
      </x:c>
      <x:c r="P121" s="7" t="str">
        <x:v>{"status":"draft","reason":null,"module":"finance","draft":null,"fields":{"id":"72f65237-f062-4103-a6e9-212984a7df25","title":"咖啡支出","notes":"今天现金支付零元","date":"2026-10-06","time":null,"amount":null,"kind":"expense","category":"Food &amp; Drinks","account":"Cash","timezone":"Asia/Shanghai"}}</x:v>
      </x:c>
      <x:c r="Q121" s="7" t="str">
        <x:v>{"intent":"single_task","module":"finance","title":"咖啡支出","notes":"今天现金支付零元","date_text":"今天","amount":"0","kind":"expense","category":"Food &amp; Drinks","account":"Cash"}</x:v>
      </x:c>
      <x:c r="R121" s="8" t="n">
        <x:v>1</x:v>
      </x:c>
      <x:c r="S121" s="8" t="n">
        <x:v>1</x:v>
      </x:c>
      <x:c r="T121" s="8" t="n">
        <x:v>1</x:v>
      </x:c>
      <x:c r="U121" s="8" t="n">
        <x:v>1</x:v>
      </x:c>
      <x:c r="V121" s="7" t="str">
        <x:v>invalid_zero</x:v>
      </x:c>
    </x:row>
    <x:row r="122" ht="88" customHeight="1">
      <x:c r="A122" s="7" t="str">
        <x:v>mh4-memo-zh-21</x:v>
      </x:c>
      <x:c r="B122" s="7" t="str">
        <x:v>memo</x:v>
      </x:c>
      <x:c r="C122" s="7" t="str">
        <x:v>今天交房屋钥匙，重要，放备忘。</x:v>
      </x:c>
      <x:c r="D122" s="7" t="str">
        <x:v>draft</x:v>
      </x:c>
      <x:c r="E122" s="7" t="str">
        <x:v>memo</x:v>
      </x:c>
      <x:c r="F122" s="7" t="str">
        <x:v>draft</x:v>
      </x:c>
      <x:c r="G122" s="7" t="str">
        <x:v>memo</x:v>
      </x:c>
      <x:c r="H122" s="8" t="n">
        <x:v>1</x:v>
      </x:c>
      <x:c r="I122" s="8" t="n">
        <x:v>1</x:v>
      </x:c>
      <x:c r="J122" s="8" t="n">
        <x:v>1</x:v>
      </x:c>
      <x:c r="K122" s="8" t="n">
        <x:v>1</x:v>
      </x:c>
      <x:c r="L122" s="8" t="n">
        <x:v>1</x:v>
      </x:c>
      <x:c r="M122" s="8" t="n">
        <x:v>1</x:v>
      </x:c>
      <x:c r="N122" s="7" t="str"/>
      <x:c r="O122" s="7" t="str">
        <x:v>{"status":"draft","module":"memo","title":{"containsAny":["钥匙"]},"date":"2026-10-07","priority":"important"}</x:v>
      </x:c>
      <x:c r="P122" s="7" t="str">
        <x:v>{"status":"draft","reason":null,"draft":{"id":"74fe9687-99fa-4e06-9ed7-7ac00cd27269","title":"交钥匙","notes":"重要","dueDate":"2026-10-07","timezone":"Asia/Tokyo","priority":"important","dateText":"今天","warnings":[]},"module":"memo","fields":null}</x:v>
      </x:c>
      <x:c r="Q122" s="7" t="str">
        <x:v>{"intent":"single_task","module":"memo","title":"交钥匙","notes":"重要","date_text":"今天","time_text":"交钥匙"}</x:v>
      </x:c>
      <x:c r="R122" s="8" t="n">
        <x:v>1</x:v>
      </x:c>
      <x:c r="S122" s="8" t="n">
        <x:v>1</x:v>
      </x:c>
      <x:c r="T122" s="8" t="n">
        <x:v>1</x:v>
      </x:c>
      <x:c r="U122" s="8" t="n">
        <x:v>1</x:v>
      </x:c>
      <x:c r="V122" s="7" t="str">
        <x:v>timezone_boundary</x:v>
      </x:c>
    </x:row>
    <x:row r="123" ht="88" customHeight="1">
      <x:c r="A123" s="7" t="str">
        <x:v>mh4-schedule-zh-07</x:v>
      </x:c>
      <x:c r="B123" s="7" t="str">
        <x:v>schedule</x:v>
      </x:c>
      <x:c r="C123" s="7" t="str">
        <x:v>明天一早有个读书分享会，几点还没定。</x:v>
      </x:c>
      <x:c r="D123" s="7" t="str">
        <x:v>draft</x:v>
      </x:c>
      <x:c r="E123" s="7" t="str">
        <x:v>schedule</x:v>
      </x:c>
      <x:c r="F123" s="7" t="str">
        <x:v>draft</x:v>
      </x:c>
      <x:c r="G123" s="7" t="str">
        <x:v>memo</x:v>
      </x:c>
      <x:c r="H123" s="8" t="n">
        <x:v>0</x:v>
      </x:c>
      <x:c r="I123" s="8" t="n">
        <x:v>2</x:v>
      </x:c>
      <x:c r="J123" s="8" t="n">
        <x:v>2</x:v>
      </x:c>
      <x:c r="K123" s="8" t="n">
        <x:v>0</x:v>
      </x:c>
      <x:c r="L123" s="8" t="n">
        <x:v>1</x:v>
      </x:c>
      <x:c r="M123" s="8" t="n">
        <x:v>0</x:v>
      </x:c>
      <x:c r="N123" s="7" t="str">
        <x:v>module, time</x:v>
      </x:c>
      <x:c r="O123" s="7" t="str">
        <x:v>{"status":"draft","module":"schedule","title":{"containsAny":["读书","分享"]},"date":"2026-10-07","time":null}</x:v>
      </x:c>
      <x:c r="P123" s="7" t="str">
        <x:v>{"status":"draft","reason":null,"draft":{"id":"46223a9d-767a-4214-9b0a-8264c239115b","title":"明天一早有个读书分享会，几点还没定","notes":"","dueDate":"2026-10-07","timezone":"Asia/Shanghai","priority":null,"dateText":"明天","warnings":["priority_missing"]},"module":"memo","fields":null}</x:v>
      </x:c>
      <x:c r="Q123" s="7" t="str">
        <x:v>{"intent":"single_task","module":"schedule","title":"读书分享会","notes":"","date_text":"明天","time_text":"一早"}</x:v>
      </x:c>
      <x:c r="R123" s="8" t="n">
        <x:v>1</x:v>
      </x:c>
      <x:c r="S123" s="8" t="n">
        <x:v>1</x:v>
      </x:c>
      <x:c r="T123" s="8" t="n">
        <x:v>1</x:v>
      </x:c>
      <x:c r="U123" s="8" t="n">
        <x:v>1</x:v>
      </x:c>
      <x:c r="V123" s="7" t="str">
        <x:v>missing_time</x:v>
      </x:c>
    </x:row>
  </x:sheetData>
  <x:conditionalFormatting sqref="K4:K123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9a1d6ab196448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English120 冻结首测明细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mh4-health-en-17</x:v>
      </x:c>
      <x:c r="B4" s="7" t="str">
        <x:v>health</x:v>
      </x:c>
      <x:c r="C4" s="7" t="str">
        <x:v>Can you show the ranking of app usage durations today on this phone?</x:v>
      </x:c>
      <x:c r="D4" s="7" t="str">
        <x:v>draft</x:v>
      </x:c>
      <x:c r="E4" s="7" t="str">
        <x:v>health</x:v>
      </x:c>
      <x:c r="F4" s="7" t="str">
        <x:v>draft</x:v>
      </x:c>
      <x:c r="G4" s="7" t="str">
        <x:v>health</x:v>
      </x:c>
      <x:c r="H4" s="8" t="n">
        <x:v>1</x:v>
      </x:c>
      <x:c r="I4" s="8" t="n">
        <x:v>0</x:v>
      </x:c>
      <x:c r="J4" s="8" t="n">
        <x:v>0</x:v>
      </x:c>
      <x:c r="K4" s="8" t="n">
        <x:v>1</x:v>
      </x:c>
      <x:c r="L4" s="8" t="n">
        <x:v>1</x:v>
      </x:c>
      <x:c r="M4" s="8" t="n">
        <x:v>1</x:v>
      </x:c>
      <x:c r="N4" s="7" t="str"/>
      <x:c r="O4" s="7" t="str">
        <x:v>{"status":"draft","module":"health"}</x:v>
      </x:c>
      <x:c r="P4" s="7" t="str">
        <x:v>{"status":"draft","reason":null,"module":"health","draft":null,"fields":{"id":"fc15f922-7364-4caf-87dc-6d37c1651a93","title":"View phone usage","notes":"","date":"2026-10-06","time":null,"amount":null,"kind":null,"category":null,"account":null,"timezone":"America/Los_Angeles"}}</x:v>
      </x:c>
      <x:c r="Q4" s="7" t="str">
        <x:v>{"intent":"single_task","module":"health","title":"查看手机使用时长","notes":""}</x:v>
      </x:c>
      <x:c r="R4" s="8" t="n">
        <x:v>1</x:v>
      </x:c>
      <x:c r="S4" s="8" t="n">
        <x:v>1</x:v>
      </x:c>
      <x:c r="T4" s="8" t="n">
        <x:v>0</x:v>
      </x:c>
      <x:c r="U4" s="8" t="n">
        <x:v>0</x:v>
      </x:c>
      <x:c r="V4" s="7" t="str">
        <x:v>app_breakdown</x:v>
      </x:c>
    </x:row>
    <x:row r="5" ht="88" customHeight="1">
      <x:c r="A5" s="7" t="str">
        <x:v>mh4-memo-en-01</x:v>
      </x:c>
      <x:c r="B5" s="7" t="str">
        <x:v>memo</x:v>
      </x:c>
      <x:c r="C5" s="7" t="str">
        <x:v>Stick this on my list: get the visa photo printed today. Urgent, please.</x:v>
      </x:c>
      <x:c r="D5" s="7" t="str">
        <x:v>draft</x:v>
      </x:c>
      <x:c r="E5" s="7" t="str">
        <x:v>memo</x:v>
      </x:c>
      <x:c r="F5" s="7" t="str">
        <x:v>draft</x:v>
      </x:c>
      <x:c r="G5" s="7" t="str">
        <x:v>memo</x:v>
      </x:c>
      <x:c r="H5" s="8" t="n">
        <x:v>1</x:v>
      </x:c>
      <x:c r="I5" s="8" t="n">
        <x:v>1</x:v>
      </x:c>
      <x:c r="J5" s="8" t="n">
        <x:v>1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{"status":"draft","module":"memo","title":{"containsAny":["visa","photo"]},"date":"2026-10-06","priority":"urgent"}</x:v>
      </x:c>
      <x:c r="P5" s="7" t="str">
        <x:v>{"status":"draft","reason":null,"draft":{"id":"42039d29-f956-4e16-9b39-80b3da0116c5","title":"Get the visa photo printed","notes":"urgent","dueDate":"2026-10-06","timezone":"America/Los_Angeles","priority":"urgent","dateText":"today","warnings":[]},"module":"memo","fields":null}</x:v>
      </x:c>
      <x:c r="Q5" s="7" t="str">
        <x:v>{"intent":"single_task","module":"memo","title":"Get the visa photo printed","notes":"urgent","date_text":"today","time_text":"absent"}</x:v>
      </x:c>
      <x:c r="R5" s="8" t="n">
        <x:v>1</x:v>
      </x:c>
      <x:c r="S5" s="8" t="n">
        <x:v>1</x:v>
      </x:c>
      <x:c r="T5" s="8" t="n">
        <x:v>1</x:v>
      </x:c>
      <x:c r="U5" s="8" t="n">
        <x:v>1</x:v>
      </x:c>
      <x:c r="V5" s="7" t="str">
        <x:v>colloquial</x:v>
      </x:c>
    </x:row>
    <x:row r="6" ht="88" customHeight="1">
      <x:c r="A6" s="7" t="str">
        <x:v>mh4-finance-en-03</x:v>
      </x:c>
      <x:c r="B6" s="7" t="str">
        <x:v>finance</x:v>
      </x:c>
      <x:c r="C6" s="7" t="str">
        <x:v>Shopping expense: a jacket today, 245 yuan, charged to my credit card.</x:v>
      </x:c>
      <x:c r="D6" s="7" t="str">
        <x:v>draft</x:v>
      </x:c>
      <x:c r="E6" s="7" t="str">
        <x:v>finance</x:v>
      </x:c>
      <x:c r="F6" s="7" t="str">
        <x:v>draft</x:v>
      </x:c>
      <x:c r="G6" s="7" t="str">
        <x:v>finance</x:v>
      </x:c>
      <x:c r="H6" s="8" t="n">
        <x:v>1</x:v>
      </x:c>
      <x:c r="I6" s="8" t="n">
        <x:v>5</x:v>
      </x:c>
      <x:c r="J6" s="8" t="n">
        <x:v>6</x:v>
      </x:c>
      <x:c r="K6" s="8" t="n">
        <x:v>0</x:v>
      </x:c>
      <x:c r="L6" s="8" t="n">
        <x:v>1</x:v>
      </x:c>
      <x:c r="M6" s="8" t="n">
        <x:v>0</x:v>
      </x:c>
      <x:c r="N6" s="7" t="str">
        <x:v>title</x:v>
      </x:c>
      <x:c r="O6" s="7" t="str">
        <x:v>{"status":"draft","module":"finance","title":{"containsAny":["jacket"]},"amount":"245","kind":"expense","category":"Shopping","account":"Credit Card","date":"2026-10-06"}</x:v>
      </x:c>
      <x:c r="P6" s="7" t="str">
        <x:v>{"status":"draft","reason":null,"module":"finance","draft":null,"fields":{"id":"3c32d3ce-1729-473a-91e3-3eee4160e124","title":"Shopping","notes":"a jacket","date":"2026-10-06","time":null,"amount":"245","kind":"expense","category":"Shopping","account":"Credit Card","timezone":"America/Los_Angeles"}}</x:v>
      </x:c>
      <x:c r="Q6" s="7" t="str">
        <x:v>{"intent":"single_task","module":"finance","title":"Shopping","notes":"a jacket","date_text":"today","amount":"245","kind":"expense","category":"Shopping","account":"Credit Card"}</x:v>
      </x:c>
      <x:c r="R6" s="8" t="n">
        <x:v>1</x:v>
      </x:c>
      <x:c r="S6" s="8" t="n">
        <x:v>1</x:v>
      </x:c>
      <x:c r="T6" s="8" t="n">
        <x:v>1</x:v>
      </x:c>
      <x:c r="U6" s="8" t="n">
        <x:v>1</x:v>
      </x:c>
      <x:c r="V6" s="7" t="str">
        <x:v>complete</x:v>
      </x:c>
    </x:row>
    <x:row r="7" ht="90" customHeight="1">
      <x:c r="A7" s="7" t="str">
        <x:v>mh4-health-en-26</x:v>
      </x:c>
      <x:c r="B7" s="7" t="str">
        <x:v>health</x:v>
      </x:c>
      <x:c r="C7" s="7" t="str">
        <x:v>Show today's phone usage and make a task to stop scrolling at 10pm.</x:v>
      </x:c>
      <x:c r="D7" s="7" t="str">
        <x:v>clarification</x:v>
      </x:c>
      <x:c r="E7" s="7" t="str"/>
      <x:c r="F7" s="7" t="str">
        <x:v>draft</x:v>
      </x:c>
      <x:c r="G7" s="7" t="str">
        <x:v>memo</x:v>
      </x:c>
      <x:c r="H7" s="8" t="n">
        <x:v>0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8" t="n">
        <x:v>0</x:v>
      </x:c>
      <x:c r="N7" s="7" t="str">
        <x:v>status, module</x:v>
      </x:c>
      <x:c r="O7" s="7" t="str">
        <x:v>{"status":"clarification","module":null}</x:v>
      </x:c>
      <x:c r="P7" s="7" t="str">
        <x:v>{"status":"draft","reason":null,"draft":{"id":"73965f74-0a41-4502-ad09-0bead2a9fe23","title":"Show today's phone usage and make a task to stop scrolling at 10pm.","notes":"","dueDate":"2026-10-06","timezone":"America/Los_Angeles","priority":null,"dateText":"today","warnings":["priority_missing"]},"module":"memo","fields":null}</x:v>
      </x:c>
      <x:c r="Q7" s="7" t="str">
        <x:v>{"intent":"single_task","module":"health","title":"Show today's phone usage","notes":"","date_text":"today","time_text":"10pm"}</x:v>
      </x:c>
      <x:c r="R7" s="8" t="n">
        <x:v>1</x:v>
      </x:c>
      <x:c r="S7" s="8" t="n">
        <x:v>0</x:v>
      </x:c>
      <x:c r="T7" s="8" t="n">
        <x:v>0</x:v>
      </x:c>
      <x:c r="U7" s="8" t="n">
        <x:v>0</x:v>
      </x:c>
      <x:c r="V7" s="7" t="str">
        <x:v>multiple_actions</x:v>
      </x:c>
    </x:row>
    <x:row r="8" ht="88" customHeight="1">
      <x:c r="A8" s="7" t="str">
        <x:v>mh4-schedule-en-17</x:v>
      </x:c>
      <x:c r="B8" s="7" t="str">
        <x:v>schedule</x:v>
      </x:c>
      <x:c r="C8" s="7" t="str">
        <x:v>Sunday 10:15pm video call with José about the Montréal trip ✈️. Schedule it.</x:v>
      </x:c>
      <x:c r="D8" s="7" t="str">
        <x:v>draft</x:v>
      </x:c>
      <x:c r="E8" s="7" t="str">
        <x:v>schedule</x:v>
      </x:c>
      <x:c r="F8" s="7" t="str">
        <x:v>draft</x:v>
      </x:c>
      <x:c r="G8" s="7" t="str">
        <x:v>schedule</x:v>
      </x:c>
      <x:c r="H8" s="8" t="n">
        <x:v>1</x:v>
      </x:c>
      <x:c r="I8" s="8" t="n">
        <x:v>1</x:v>
      </x:c>
      <x:c r="J8" s="8" t="n">
        <x:v>2</x:v>
      </x:c>
      <x:c r="K8" s="8" t="n">
        <x:v>0</x:v>
      </x:c>
      <x:c r="L8" s="8" t="n">
        <x:v>1</x:v>
      </x:c>
      <x:c r="M8" s="8" t="n">
        <x:v>0</x:v>
      </x:c>
      <x:c r="N8" s="7" t="str">
        <x:v>date</x:v>
      </x:c>
      <x:c r="O8" s="7" t="str">
        <x:v>{"status":"draft","module":"schedule","title":{"containsAny":["José","Montréal","trip"]},"date":"2026-10-11","time":"22:15"}</x:v>
      </x:c>
      <x:c r="P8" s="7" t="str">
        <x:v>{"status":"draft","reason":null,"module":"schedule","draft":null,"fields":{"id":"f5230da2-e9e3-4f7e-bf59-360fa9b0ecd6","title":"Video Call with José","notes":"Montréal trip","date":null,"time":"22:15","amount":null,"kind":null,"category":null,"account":null,"timezone":"America/Los_Angeles"}}</x:v>
      </x:c>
      <x:c r="Q8" s="7" t="str">
        <x:v>{"intent":"single_task","module":"schedule","title":"Video Call with José","notes":"Montréal trip","date_text":"Sunday","time_text":"10:15pm"}</x:v>
      </x:c>
      <x:c r="R8" s="8" t="n">
        <x:v>1</x:v>
      </x:c>
      <x:c r="S8" s="8" t="n">
        <x:v>1</x:v>
      </x:c>
      <x:c r="T8" s="8" t="n">
        <x:v>1</x:v>
      </x:c>
      <x:c r="U8" s="8" t="n">
        <x:v>0</x:v>
      </x:c>
      <x:c r="V8" s="7" t="str">
        <x:v>unicode</x:v>
      </x:c>
    </x:row>
    <x:row r="9" ht="90" customHeight="1">
      <x:c r="A9" s="7" t="str">
        <x:v>mh4-memo-en-20</x:v>
      </x:c>
      <x:c r="B9" s="7" t="str">
        <x:v>memo</x:v>
      </x:c>
      <x:c r="C9" s="7" t="str">
        <x:v>Tomorrow I must pack the Christmas lights away. Make a task.</x:v>
      </x:c>
      <x:c r="D9" s="7" t="str">
        <x:v>draft</x:v>
      </x:c>
      <x:c r="E9" s="7" t="str">
        <x:v>memo</x:v>
      </x:c>
      <x:c r="F9" s="7" t="str">
        <x:v>draft</x:v>
      </x:c>
      <x:c r="G9" s="7" t="str">
        <x:v>memo</x:v>
      </x:c>
      <x:c r="H9" s="8" t="n">
        <x:v>1</x:v>
      </x:c>
      <x:c r="I9" s="8" t="n">
        <x:v>1</x:v>
      </x:c>
      <x:c r="J9" s="8" t="n">
        <x:v>1</x:v>
      </x:c>
      <x:c r="K9" s="8" t="n">
        <x:v>1</x:v>
      </x:c>
      <x:c r="L9" s="8" t="n">
        <x:v>1</x:v>
      </x:c>
      <x:c r="M9" s="8" t="n">
        <x:v>1</x:v>
      </x:c>
      <x:c r="N9" s="7" t="str"/>
      <x:c r="O9" s="7" t="str">
        <x:v>{"status":"draft","module":"memo","title":{"containsAny":["Christmas","light"]},"date":"2027-01-01","priority":null}</x:v>
      </x:c>
      <x:c r="P9" s="7" t="str">
        <x:v>{"status":"draft","reason":null,"draft":{"id":"3f2a75c4-90cc-4e82-bfe5-36e23c008182","title":"Tomorrow I must pack the Christmas lights away","notes":"Christmas lights","dueDate":"2027-01-01","timezone":"America/Los_Angeles","priority":null,"dateText":"Tomorrow","warnings":["priority_missing"]},"module":"memo","fields":null}</x:v>
      </x:c>
      <x:c r="Q9" s="7" t="str">
        <x:v>{"intent":"single_task","module":"schedule","title":"Pack Christmas lights","notes":"Christmas lights","date_text":"tomorrow","time_text":"absent"}}</x:v>
      </x:c>
      <x:c r="R9" s="8" t="n">
        <x:v>1</x:v>
      </x:c>
      <x:c r="S9" s="8" t="n">
        <x:v>0</x:v>
      </x:c>
      <x:c r="T9" s="8" t="n">
        <x:v>1</x:v>
      </x:c>
      <x:c r="U9" s="8" t="n">
        <x:v>1</x:v>
      </x:c>
      <x:c r="V9" s="7" t="str">
        <x:v>year_boundary</x:v>
      </x:c>
    </x:row>
    <x:row r="10" ht="88" customHeight="1">
      <x:c r="A10" s="7" t="str">
        <x:v>mh4-memo-en-28</x:v>
      </x:c>
      <x:c r="B10" s="7" t="str">
        <x:v>memo</x:v>
      </x:c>
      <x:c r="C10" s="7" t="str">
        <x:v>Add checking the tent as a to-do and schedule a camping briefing on Friday.</x:v>
      </x:c>
      <x:c r="D10" s="7" t="str">
        <x:v>clarification</x:v>
      </x:c>
      <x:c r="E10" s="7" t="str"/>
      <x:c r="F10" s="7" t="str">
        <x:v>clarification</x:v>
      </x:c>
      <x:c r="G10" s="7" t="str"/>
      <x:c r="H10" s="8" t="n">
        <x:v>1</x:v>
      </x:c>
      <x:c r="I10" s="8" t="n">
        <x:v>0</x:v>
      </x:c>
      <x:c r="J10" s="8" t="n">
        <x:v>0</x:v>
      </x:c>
      <x:c r="K10" s="8" t="n">
        <x:v>1</x:v>
      </x:c>
      <x:c r="L10" s="8" t="n">
        <x:v>0</x:v>
      </x:c>
      <x:c r="M10" s="8" t="n">
        <x:v>0</x:v>
      </x:c>
      <x:c r="N10" s="7" t="str"/>
      <x:c r="O10" s="7" t="str">
        <x:v>{"status":"clarification","module":null}</x:v>
      </x:c>
      <x:c r="P10" s="7" t="str">
        <x:v>{"status":"clarification","reason":"multiple_tasks","module":null,"draft":null,"fields":null}</x:v>
      </x:c>
      <x:c r="Q10" s="7" t="str"/>
      <x:c r="R10" s="8" t="n">
        <x:v>0</x:v>
      </x:c>
      <x:c r="S10" s="8"/>
      <x:c r="T10" s="8" t="n">
        <x:v>0</x:v>
      </x:c>
      <x:c r="U10" s="8" t="n">
        <x:v>0</x:v>
      </x:c>
      <x:c r="V10" s="7" t="str">
        <x:v>multiple_actions</x:v>
      </x:c>
    </x:row>
    <x:row r="11" ht="90" customHeight="1">
      <x:c r="A11" s="7" t="str">
        <x:v>mh4-finance-en-15</x:v>
      </x:c>
      <x:c r="B11" s="7" t="str">
        <x:v>finance</x:v>
      </x:c>
      <x:c r="C11" s="7" t="str">
        <x:v>A bread purchase today cost -12 yuan via Alipay. Put that expense in the form.</x:v>
      </x:c>
      <x:c r="D11" s="7" t="str">
        <x:v>draft</x:v>
      </x:c>
      <x:c r="E11" s="7" t="str">
        <x:v>finance</x:v>
      </x:c>
      <x:c r="F11" s="7" t="str">
        <x:v>draft</x:v>
      </x:c>
      <x:c r="G11" s="7" t="str">
        <x:v>finance</x:v>
      </x:c>
      <x:c r="H11" s="8" t="n">
        <x:v>1</x:v>
      </x:c>
      <x:c r="I11" s="8" t="n">
        <x:v>6</x:v>
      </x:c>
      <x:c r="J11" s="8" t="n">
        <x:v>6</x:v>
      </x:c>
      <x:c r="K11" s="8" t="n">
        <x:v>1</x:v>
      </x:c>
      <x:c r="L11" s="8" t="n">
        <x:v>1</x:v>
      </x:c>
      <x:c r="M11" s="8" t="n">
        <x:v>1</x:v>
      </x:c>
      <x:c r="N11" s="7" t="str"/>
      <x:c r="O11" s="7" t="str">
        <x:v>{"status":"draft","module":"finance","title":{"containsAny":["bread"]},"amount":null,"kind":"expense","category":"Food &amp; Drinks","account":"Alipay","date":"2026-10-06"}</x:v>
      </x:c>
      <x:c r="P11" s="7" t="str">
        <x:v>{"status":"draft","reason":null,"module":"finance","draft":null,"fields":{"id":"479baf41-54ab-4312-8fef-6b025d7ad940","title":"Bread Purchase","notes":"-12 yuan via Alipay","date":"2026-10-06","time":null,"amount":null,"kind":"expense","category":"Food &amp; Drinks","account":"Alipay","timezone":"America/Los_Angeles"}}</x:v>
      </x:c>
      <x:c r="Q11" s="7" t="str">
        <x:v>{"intent":"single_task","module":"finance","title":"Bread Purchase","notes":"-12 yuan via Alipay","date_text":"today","amount":"-12","kind":"expense","category":"Shopping","account":"Alipay"}</x:v>
      </x:c>
      <x:c r="R11" s="8" t="n">
        <x:v>1</x:v>
      </x:c>
      <x:c r="S11" s="8" t="n">
        <x:v>1</x:v>
      </x:c>
      <x:c r="T11" s="8" t="n">
        <x:v>1</x:v>
      </x:c>
      <x:c r="U11" s="8" t="n">
        <x:v>1</x:v>
      </x:c>
      <x:c r="V11" s="7" t="str">
        <x:v>invalid_negative</x:v>
      </x:c>
    </x:row>
    <x:row r="12" ht="88" customHeight="1">
      <x:c r="A12" s="7" t="str">
        <x:v>mh4-memo-en-09</x:v>
      </x:c>
      <x:c r="B12" s="7" t="str">
        <x:v>memo</x:v>
      </x:c>
      <x:c r="C12" s="7" t="str">
        <x:v>Memo please: send the lab report 今天, 高优先级.</x:v>
      </x:c>
      <x:c r="D12" s="7" t="str">
        <x:v>draft</x:v>
      </x:c>
      <x:c r="E12" s="7" t="str">
        <x:v>memo</x:v>
      </x:c>
      <x:c r="F12" s="7" t="str">
        <x:v>draft</x:v>
      </x:c>
      <x:c r="G12" s="7" t="str">
        <x:v>memo</x:v>
      </x:c>
      <x:c r="H12" s="8" t="n">
        <x:v>1</x:v>
      </x:c>
      <x:c r="I12" s="8" t="n">
        <x:v>1</x:v>
      </x:c>
      <x:c r="J12" s="8" t="n">
        <x:v>1</x:v>
      </x:c>
      <x:c r="K12" s="8" t="n">
        <x:v>1</x:v>
      </x:c>
      <x:c r="L12" s="8" t="n">
        <x:v>1</x:v>
      </x:c>
      <x:c r="M12" s="8" t="n">
        <x:v>1</x:v>
      </x:c>
      <x:c r="N12" s="7" t="str"/>
      <x:c r="O12" s="7" t="str">
        <x:v>{"status":"draft","module":"memo","title":{"containsAny":["lab","report","报告"]},"date":"2026-10-06","priority":"important"}</x:v>
      </x:c>
      <x:c r="P12" s="7" t="str">
        <x:v>{"status":"draft","reason":null,"draft":{"id":"46dcc9c2-5bb6-4f09-a5f9-f8b3b0a8a4e9","title":"send the lab report","notes":"","dueDate":"2026-10-06","timezone":"America/Los_Angeles","priority":"important","dateText":"今天","warnings":[]},"module":"memo","fields":null}</x:v>
      </x:c>
      <x:c r="Q12" s="7" t="str">
        <x:v>{"intent":"single_task","module":"memo","title":"send the lab report","notes":"","date_text":"今天","priority":"high"}</x:v>
      </x:c>
      <x:c r="R12" s="8" t="n">
        <x:v>1</x:v>
      </x:c>
      <x:c r="S12" s="8" t="n">
        <x:v>1</x:v>
      </x:c>
      <x:c r="T12" s="8" t="n">
        <x:v>1</x:v>
      </x:c>
      <x:c r="U12" s="8" t="n">
        <x:v>1</x:v>
      </x:c>
      <x:c r="V12" s="7" t="str">
        <x:v>mixed_language</x:v>
      </x:c>
    </x:row>
    <x:row r="13" ht="88" customHeight="1">
      <x:c r="A13" s="7" t="str">
        <x:v>mh4-schedule-en-01</x:v>
      </x:c>
      <x:c r="B13" s="7" t="str">
        <x:v>schedule</x:v>
      </x:c>
      <x:c r="C13" s="7" t="str">
        <x:v>Block out tomorrow at 4pm for my optician appointment, will you?</x:v>
      </x:c>
      <x:c r="D13" s="7" t="str">
        <x:v>draft</x:v>
      </x:c>
      <x:c r="E13" s="7" t="str">
        <x:v>schedule</x:v>
      </x:c>
      <x:c r="F13" s="7" t="str">
        <x:v>draft</x:v>
      </x:c>
      <x:c r="G13" s="7" t="str">
        <x:v>schedule</x:v>
      </x:c>
      <x:c r="H13" s="8" t="n">
        <x:v>1</x:v>
      </x:c>
      <x:c r="I13" s="8" t="n">
        <x:v>2</x:v>
      </x:c>
      <x:c r="J13" s="8" t="n">
        <x:v>2</x:v>
      </x:c>
      <x:c r="K13" s="8" t="n">
        <x:v>1</x:v>
      </x:c>
      <x:c r="L13" s="8" t="n">
        <x:v>1</x:v>
      </x:c>
      <x:c r="M13" s="8" t="n">
        <x:v>1</x:v>
      </x:c>
      <x:c r="N13" s="7" t="str"/>
      <x:c r="O13" s="7" t="str">
        <x:v>{"status":"draft","module":"schedule","title":{"containsAny":["optician"]},"date":"2026-10-07","time":"16:00"}</x:v>
      </x:c>
      <x:c r="P13" s="7" t="str">
        <x:v>{"status":"draft","reason":null,"module":"schedule","draft":null,"fields":{"id":"4af62cd8-aa00-4a86-9953-ee2be3fb7d0f","title":"Optician Appointment","notes":"","date":"2026-10-07","time":"16:00","amount":null,"kind":null,"category":null,"account":null,"timezone":"America/Los_Angeles"}}</x:v>
      </x:c>
      <x:c r="Q13" s="7" t="str">
        <x:v>{"intent":"single_task","module":"schedule","title":"Optician Appointment","notes":"","date_text":"tomorrow","time_text":"4pm"}</x:v>
      </x:c>
      <x:c r="R13" s="8" t="n">
        <x:v>1</x:v>
      </x:c>
      <x:c r="S13" s="8" t="n">
        <x:v>1</x:v>
      </x:c>
      <x:c r="T13" s="8" t="n">
        <x:v>1</x:v>
      </x:c>
      <x:c r="U13" s="8" t="n">
        <x:v>1</x:v>
      </x:c>
      <x:c r="V13" s="7" t="str">
        <x:v>colloquial</x:v>
      </x:c>
    </x:row>
    <x:row r="14" ht="88" customHeight="1">
      <x:c r="A14" s="7" t="str">
        <x:v>mh4-finance-en-08</x:v>
      </x:c>
      <x:c r="B14" s="7" t="str">
        <x:v>finance</x:v>
      </x:c>
      <x:c r="C14" s="7" t="str">
        <x:v>A birthday gift of 120 yuan came in cash today. Record gift income.</x:v>
      </x:c>
      <x:c r="D14" s="7" t="str">
        <x:v>draft</x:v>
      </x:c>
      <x:c r="E14" s="7" t="str">
        <x:v>finance</x:v>
      </x:c>
      <x:c r="F14" s="7" t="str">
        <x:v>draft</x:v>
      </x:c>
      <x:c r="G14" s="7" t="str">
        <x:v>finance</x:v>
      </x:c>
      <x:c r="H14" s="8" t="n">
        <x:v>1</x:v>
      </x:c>
      <x:c r="I14" s="8" t="n">
        <x:v>6</x:v>
      </x:c>
      <x:c r="J14" s="8" t="n">
        <x:v>6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{"status":"draft","module":"finance","title":{"containsAny":["gift","birthday"]},"amount":"120","kind":"income","category":"Gift","account":"Cash","date":"2026-10-06"}</x:v>
      </x:c>
      <x:c r="P14" s="7" t="str">
        <x:v>{"status":"draft","reason":null,"module":"finance","draft":null,"fields":{"id":"5891f894-e840-45a3-8ec2-b999dbce0a47","title":"Gift Income","notes":"120 yuan","date":"2026-10-06","time":null,"amount":"120","kind":"income","category":"Gift","account":"Cash","timezone":"America/Los_Angeles"}}</x:v>
      </x:c>
      <x:c r="Q14" s="7" t="str">
        <x:v>{"intent":"single_task","module":"finance","title":"Gift Income","notes":"120 yuan","date_text":"today","amount":"120","kind":"income","category":"Gift","account":"Cash"}</x:v>
      </x:c>
      <x:c r="R14" s="8" t="n">
        <x:v>1</x:v>
      </x:c>
      <x:c r="S14" s="8" t="n">
        <x:v>1</x:v>
      </x:c>
      <x:c r="T14" s="8" t="n">
        <x:v>1</x:v>
      </x:c>
      <x:c r="U14" s="8" t="n">
        <x:v>1</x:v>
      </x:c>
      <x:c r="V14" s="7" t="str">
        <x:v>complete</x:v>
      </x:c>
    </x:row>
    <x:row r="15" ht="88" customHeight="1">
      <x:c r="A15" s="7" t="str">
        <x:v>mh4-finance-en-17</x:v>
      </x:c>
      <x:c r="B15" s="7" t="str">
        <x:v>finance</x:v>
      </x:c>
      <x:c r="C15" s="7" t="str">
        <x:v>My coffee today cost sixteen yuan, paid with cash.</x:v>
      </x:c>
      <x:c r="D15" s="7" t="str">
        <x:v>draft</x:v>
      </x:c>
      <x:c r="E15" s="7" t="str">
        <x:v>finance</x:v>
      </x:c>
      <x:c r="F15" s="7" t="str">
        <x:v>draft</x:v>
      </x:c>
      <x:c r="G15" s="7" t="str">
        <x:v>finance</x:v>
      </x:c>
      <x:c r="H15" s="8" t="n">
        <x:v>1</x:v>
      </x:c>
      <x:c r="I15" s="8" t="n">
        <x:v>6</x:v>
      </x:c>
      <x:c r="J15" s="8" t="n">
        <x:v>6</x:v>
      </x:c>
      <x:c r="K15" s="8" t="n">
        <x:v>1</x:v>
      </x:c>
      <x:c r="L15" s="8" t="n">
        <x:v>1</x:v>
      </x:c>
      <x:c r="M15" s="8" t="n">
        <x:v>1</x:v>
      </x:c>
      <x:c r="N15" s="7" t="str"/>
      <x:c r="O15" s="7" t="str">
        <x:v>{"status":"draft","module":"finance","title":{"containsAny":["coffee"]},"amount":null,"kind":"expense","category":"Food &amp; Drinks","account":"Cash","date":"2026-10-06"}</x:v>
      </x:c>
      <x:c r="P15" s="7" t="str">
        <x:v>{"status":"draft","reason":null,"module":"finance","draft":null,"fields":{"id":"27ff18df-8909-4ca5-8e0c-fafe89b516c9","title":"Coffee","notes":"","date":"2026-10-06","time":null,"amount":null,"kind":"expense","category":"Food &amp; Drinks","account":"Cash","timezone":"America/Los_Angeles"}}</x:v>
      </x:c>
      <x:c r="Q15" s="7" t="str">
        <x:v>{"intent":"single_task","module":"finance","title":"Coffee","notes":"","date_text":"today","amount":"16","kind":"expense","category":"Food &amp; Drinks","account":"Cash"}</x:v>
      </x:c>
      <x:c r="R15" s="8" t="n">
        <x:v>1</x:v>
      </x:c>
      <x:c r="S15" s="8" t="n">
        <x:v>1</x:v>
      </x:c>
      <x:c r="T15" s="8" t="n">
        <x:v>1</x:v>
      </x:c>
      <x:c r="U15" s="8" t="n">
        <x:v>1</x:v>
      </x:c>
      <x:c r="V15" s="7" t="str">
        <x:v>written_amount</x:v>
      </x:c>
    </x:row>
    <x:row r="16" ht="88" customHeight="1">
      <x:c r="A16" s="7" t="str">
        <x:v>mh4-memo-en-19</x:v>
      </x:c>
      <x:c r="B16" s="7" t="str">
        <x:v>memo</x:v>
      </x:c>
      <x:c r="C16" s="7" t="str">
        <x:v>My to-do for today: annotate the naïve-Bayes slides 🧠. Low priority.</x:v>
      </x:c>
      <x:c r="D16" s="7" t="str">
        <x:v>draft</x:v>
      </x:c>
      <x:c r="E16" s="7" t="str">
        <x:v>memo</x:v>
      </x:c>
      <x:c r="F16" s="7" t="str">
        <x:v>draft</x:v>
      </x:c>
      <x:c r="G16" s="7" t="str">
        <x:v>memo</x:v>
      </x:c>
      <x:c r="H16" s="8" t="n">
        <x:v>1</x:v>
      </x:c>
      <x:c r="I16" s="8" t="n">
        <x:v>1</x:v>
      </x:c>
      <x:c r="J16" s="8" t="n">
        <x:v>1</x:v>
      </x:c>
      <x:c r="K16" s="8" t="n">
        <x:v>1</x:v>
      </x:c>
      <x:c r="L16" s="8" t="n">
        <x:v>1</x:v>
      </x:c>
      <x:c r="M16" s="8" t="n">
        <x:v>1</x:v>
      </x:c>
      <x:c r="N16" s="7" t="str"/>
      <x:c r="O16" s="7" t="str">
        <x:v>{"status":"draft","module":"memo","title":{"containsAny":["Bayes","slide"]},"date":"2026-10-06","priority":"normal"}</x:v>
      </x:c>
      <x:c r="P16" s="7" t="str">
        <x:v>{"status":"draft","reason":null,"draft":{"id":"18b7e9e6-43f5-4888-bbc8-e9375e00c572","title":"Annotate naïve-Bayes slides","notes":"Low priority","dueDate":"2026-10-06","timezone":"America/Los_Angeles","priority":"normal","dateText":"today","warnings":[]},"module":"memo","fields":null}</x:v>
      </x:c>
      <x:c r="Q16" s="7" t="str">
        <x:v>{"intent":"single_task","module":"memo","title":"Annotate naïve-Bayes slides","notes":"Low priority"}</x:v>
      </x:c>
      <x:c r="R16" s="8" t="n">
        <x:v>1</x:v>
      </x:c>
      <x:c r="S16" s="8" t="n">
        <x:v>1</x:v>
      </x:c>
      <x:c r="T16" s="8" t="n">
        <x:v>1</x:v>
      </x:c>
      <x:c r="U16" s="8" t="n">
        <x:v>1</x:v>
      </x:c>
      <x:c r="V16" s="7" t="str">
        <x:v>unicode</x:v>
      </x:c>
    </x:row>
    <x:row r="17" ht="88" customHeight="1">
      <x:c r="A17" s="7" t="str">
        <x:v>mh4-finance-en-09</x:v>
      </x:c>
      <x:c r="B17" s="7" t="str">
        <x:v>finance</x:v>
      </x:c>
      <x:c r="C17" s="7" t="str">
        <x:v>Paid the electricity bill today: 76 yuan through Alipay.</x:v>
      </x:c>
      <x:c r="D17" s="7" t="str">
        <x:v>draft</x:v>
      </x:c>
      <x:c r="E17" s="7" t="str">
        <x:v>finance</x:v>
      </x:c>
      <x:c r="F17" s="7" t="str">
        <x:v>draft</x:v>
      </x:c>
      <x:c r="G17" s="7" t="str">
        <x:v>finance</x:v>
      </x:c>
      <x:c r="H17" s="8" t="n">
        <x:v>1</x:v>
      </x:c>
      <x:c r="I17" s="8" t="n">
        <x:v>6</x:v>
      </x:c>
      <x:c r="J17" s="8" t="n">
        <x:v>6</x:v>
      </x:c>
      <x:c r="K17" s="8" t="n">
        <x:v>1</x:v>
      </x:c>
      <x:c r="L17" s="8" t="n">
        <x:v>1</x:v>
      </x:c>
      <x:c r="M17" s="8" t="n">
        <x:v>1</x:v>
      </x:c>
      <x:c r="N17" s="7" t="str"/>
      <x:c r="O17" s="7" t="str">
        <x:v>{"status":"draft","module":"finance","title":{"containsAny":["electricity"]},"amount":"76","kind":"expense","category":"Bills","account":"Alipay","date":"2026-10-06"}</x:v>
      </x:c>
      <x:c r="P17" s="7" t="str">
        <x:v>{"status":"draft","reason":null,"module":"finance","draft":null,"fields":{"id":"eb3450bf-12c4-47e0-b5f6-2ad3b979dad1","title":"Electricity Bill","notes":"","date":"2026-10-06","time":null,"amount":"76","kind":"expense","category":"Bills","account":"Alipay","timezone":"America/Los_Angeles"}}</x:v>
      </x:c>
      <x:c r="Q17" s="7" t="str">
        <x:v>{"intent":"single_task","module":"finance","title":"Electricity Bill","notes":"","date_text":"today","amount":"76","kind":"expense","category":"Bills","account":"Alipay"}</x:v>
      </x:c>
      <x:c r="R17" s="8" t="n">
        <x:v>1</x:v>
      </x:c>
      <x:c r="S17" s="8" t="n">
        <x:v>1</x:v>
      </x:c>
      <x:c r="T17" s="8" t="n">
        <x:v>1</x:v>
      </x:c>
      <x:c r="U17" s="8" t="n">
        <x:v>1</x:v>
      </x:c>
      <x:c r="V17" s="7" t="str">
        <x:v>complete</x:v>
      </x:c>
    </x:row>
    <x:row r="18" ht="88" customHeight="1">
      <x:c r="A18" s="7" t="str">
        <x:v>mh4-health-en-12</x:v>
      </x:c>
      <x:c r="B18" s="7" t="str">
        <x:v>health</x:v>
      </x:c>
      <x:c r="C18" s="7" t="str">
        <x:v>Navigate to the existing digital wellbeing usage screen.</x:v>
      </x:c>
      <x:c r="D18" s="7" t="str">
        <x:v>draft</x:v>
      </x:c>
      <x:c r="E18" s="7" t="str">
        <x:v>health</x:v>
      </x:c>
      <x:c r="F18" s="7" t="str">
        <x:v>draft</x:v>
      </x:c>
      <x:c r="G18" s="7" t="str">
        <x:v>health</x:v>
      </x:c>
      <x:c r="H18" s="8" t="n">
        <x:v>1</x:v>
      </x:c>
      <x:c r="I18" s="8" t="n">
        <x:v>0</x:v>
      </x:c>
      <x:c r="J18" s="8" t="n">
        <x:v>0</x:v>
      </x:c>
      <x:c r="K18" s="8" t="n">
        <x:v>1</x:v>
      </x:c>
      <x:c r="L18" s="8" t="n">
        <x:v>1</x:v>
      </x:c>
      <x:c r="M18" s="8" t="n">
        <x:v>1</x:v>
      </x:c>
      <x:c r="N18" s="7" t="str"/>
      <x:c r="O18" s="7" t="str">
        <x:v>{"status":"draft","module":"health"}</x:v>
      </x:c>
      <x:c r="P18" s="7" t="str">
        <x:v>{"status":"draft","reason":null,"module":"health","draft":null,"fields":{"id":"bf1c44f9-bd54-4d44-9886-c3d21b934604","title":"View phone usage","notes":"","date":null,"time":null,"amount":null,"kind":null,"category":null,"account":null,"timezone":"America/Los_Angeles"}}</x:v>
      </x:c>
      <x:c r="Q18" s="7" t="str">
        <x:v>{"intent":"single_task","module":"health","title":"Digital Wellbeing Usage","notes":""}</x:v>
      </x:c>
      <x:c r="R18" s="8" t="n">
        <x:v>1</x:v>
      </x:c>
      <x:c r="S18" s="8" t="n">
        <x:v>1</x:v>
      </x:c>
      <x:c r="T18" s="8" t="n">
        <x:v>0</x:v>
      </x:c>
      <x:c r="U18" s="8" t="n">
        <x:v>0</x:v>
      </x:c>
      <x:c r="V18" s="7" t="str">
        <x:v>open_page</x:v>
      </x:c>
    </x:row>
    <x:row r="19" ht="88" customHeight="1">
      <x:c r="A19" s="7" t="str">
        <x:v>mh4-health-en-13</x:v>
      </x:c>
      <x:c r="B19" s="7" t="str">
        <x:v>health</x:v>
      </x:c>
      <x:c r="C19" s="7" t="str">
        <x:v>Not my bank balance: I want to see the time I spent using this phone today.</x:v>
      </x:c>
      <x:c r="D19" s="7" t="str">
        <x:v>draft</x:v>
      </x:c>
      <x:c r="E19" s="7" t="str">
        <x:v>health</x:v>
      </x:c>
      <x:c r="F19" s="7" t="str">
        <x:v>draft</x:v>
      </x:c>
      <x:c r="G19" s="7" t="str">
        <x:v>finance</x:v>
      </x:c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8" t="n">
        <x:v>1</x:v>
      </x:c>
      <x:c r="M19" s="8" t="n">
        <x:v>0</x:v>
      </x:c>
      <x:c r="N19" s="7" t="str">
        <x:v>module</x:v>
      </x:c>
      <x:c r="O19" s="7" t="str">
        <x:v>{"status":"draft","module":"health"}</x:v>
      </x:c>
      <x:c r="P19" s="7" t="str">
        <x:v>{"status":"draft","reason":null,"module":"finance","draft":null,"fields":{"id":"c648b74f-07e0-47f1-8aab-996c889aca09","title":"查看手机使用时长","notes":"","date":"2026-10-06","time":null,"amount":null,"kind":null,"category":null,"account":null,"timezone":"America/Los_Angeles"}}</x:v>
      </x:c>
      <x:c r="Q19" s="7" t="str">
        <x:v>{"intent":"single_task","module":"health","title":"查看手机使用时长","notes":""}</x:v>
      </x:c>
      <x:c r="R19" s="8" t="n">
        <x:v>1</x:v>
      </x:c>
      <x:c r="S19" s="8" t="n">
        <x:v>1</x:v>
      </x:c>
      <x:c r="T19" s="8" t="n">
        <x:v>0</x:v>
      </x:c>
      <x:c r="U19" s="8" t="n">
        <x:v>0</x:v>
      </x:c>
      <x:c r="V19" s="7" t="str">
        <x:v>cross_module</x:v>
      </x:c>
    </x:row>
    <x:row r="20" ht="88" customHeight="1">
      <x:c r="A20" s="7" t="str">
        <x:v>mh4-health-en-06</x:v>
      </x:c>
      <x:c r="B20" s="7" t="str">
        <x:v>health</x:v>
      </x:c>
      <x:c r="C20" s="7" t="str">
        <x:v>Show me the application usage records on this phone.</x:v>
      </x:c>
      <x:c r="D20" s="7" t="str">
        <x:v>draft</x:v>
      </x:c>
      <x:c r="E20" s="7" t="str">
        <x:v>health</x:v>
      </x:c>
      <x:c r="F20" s="7" t="str">
        <x:v>clarification</x:v>
      </x:c>
      <x:c r="G20" s="7" t="str"/>
      <x:c r="H20" s="8" t="n">
        <x:v>0</x:v>
      </x:c>
      <x:c r="I20" s="8" t="n">
        <x:v>0</x:v>
      </x:c>
      <x:c r="J20" s="8" t="n">
        <x:v>0</x:v>
      </x:c>
      <x:c r="K20" s="8" t="n">
        <x:v>0</x:v>
      </x:c>
      <x:c r="L20" s="8" t="n">
        <x:v>1</x:v>
      </x:c>
      <x:c r="M20" s="8" t="n">
        <x:v>0</x:v>
      </x:c>
      <x:c r="N20" s="7" t="str">
        <x:v>status, module</x:v>
      </x:c>
      <x:c r="O20" s="7" t="str">
        <x:v>{"status":"draft","module":"health"}</x:v>
      </x:c>
      <x:c r="P20" s="7" t="str">
        <x:v>{"status":"clarification","reason":"health_unsupported","module":null,"draft":null,"fields":null}</x:v>
      </x:c>
      <x:c r="Q20" s="7" t="str">
        <x:v>{"intent":"single_task","module":"health","title":"查看手机使用时长","notes":""}</x:v>
      </x:c>
      <x:c r="R20" s="8" t="n">
        <x:v>1</x:v>
      </x:c>
      <x:c r="S20" s="8" t="n">
        <x:v>1</x:v>
      </x:c>
      <x:c r="T20" s="8" t="n">
        <x:v>0</x:v>
      </x:c>
      <x:c r="U20" s="8" t="n">
        <x:v>0</x:v>
      </x:c>
      <x:c r="V20" s="7" t="str">
        <x:v>usage_query</x:v>
      </x:c>
    </x:row>
    <x:row r="21" ht="90" customHeight="1">
      <x:c r="A21" s="7" t="str">
        <x:v>mh4-finance-en-23</x:v>
      </x:c>
      <x:c r="B21" s="7" t="str">
        <x:v>finance</x:v>
      </x:c>
      <x:c r="C21" s="7" t="str">
        <x:v>Please log a train ticket on 2026-09-14, 126 yuan on my credit card.</x:v>
      </x:c>
      <x:c r="D21" s="7" t="str">
        <x:v>draft</x:v>
      </x:c>
      <x:c r="E21" s="7" t="str">
        <x:v>finance</x:v>
      </x:c>
      <x:c r="F21" s="7" t="str">
        <x:v>draft</x:v>
      </x:c>
      <x:c r="G21" s="7" t="str">
        <x:v>finance</x:v>
      </x:c>
      <x:c r="H21" s="8" t="n">
        <x:v>1</x:v>
      </x:c>
      <x:c r="I21" s="8" t="n">
        <x:v>6</x:v>
      </x:c>
      <x:c r="J21" s="8" t="n">
        <x:v>6</x:v>
      </x:c>
      <x:c r="K21" s="8" t="n">
        <x:v>1</x:v>
      </x:c>
      <x:c r="L21" s="8" t="n">
        <x:v>1</x:v>
      </x:c>
      <x:c r="M21" s="8" t="n">
        <x:v>1</x:v>
      </x:c>
      <x:c r="N21" s="7" t="str"/>
      <x:c r="O21" s="7" t="str">
        <x:v>{"status":"draft","module":"finance","title":{"containsAny":["train"]},"amount":"126","kind":"expense","category":"Transport","account":"Credit Card","date":"2026-09-14"}</x:v>
      </x:c>
      <x:c r="P21" s="7" t="str">
        <x:v>{"status":"draft","reason":null,"module":"finance","draft":null,"fields":{"id":"aeefebaf-c96e-4b37-878f-3858aa46a93e","title":"Train Ticket","notes":"126 yuan on my credit card","date":"2026-09-14","time":null,"amount":"126","kind":"expense","category":"Transport","account":"Credit Card","timezone":"America/Los_Angeles"}}</x:v>
      </x:c>
      <x:c r="Q21" s="7" t="str">
        <x:v>{"intent":"single_task","module":"finance","title":"Train Ticket","notes":"126 yuan on my credit card","date_text":"2026-09-14","amount":"126","kind":"expense","category":"Transport","account":"Credit Card"}</x:v>
      </x:c>
      <x:c r="R21" s="8" t="n">
        <x:v>1</x:v>
      </x:c>
      <x:c r="S21" s="8" t="n">
        <x:v>1</x:v>
      </x:c>
      <x:c r="T21" s="8" t="n">
        <x:v>1</x:v>
      </x:c>
      <x:c r="U21" s="8" t="n">
        <x:v>1</x:v>
      </x:c>
      <x:c r="V21" s="7" t="str">
        <x:v>past_date</x:v>
      </x:c>
    </x:row>
    <x:row r="22" ht="88" customHeight="1">
      <x:c r="A22" s="7" t="str">
        <x:v>mh4-health-en-20</x:v>
      </x:c>
      <x:c r="B22" s="7" t="str">
        <x:v>health</x:v>
      </x:c>
      <x:c r="C22" s="7" t="str">
        <x:v>Add a health entry for drinking 400 millilitres of water this morning.</x:v>
      </x:c>
      <x:c r="D22" s="7" t="str">
        <x:v>clarification</x:v>
      </x:c>
      <x:c r="E22" s="7" t="str"/>
      <x:c r="F22" s="7" t="str">
        <x:v>clarification</x:v>
      </x:c>
      <x:c r="G22" s="7" t="str"/>
      <x:c r="H22" s="8" t="n">
        <x:v>1</x:v>
      </x:c>
      <x:c r="I22" s="8" t="n">
        <x:v>0</x:v>
      </x:c>
      <x:c r="J22" s="8" t="n">
        <x:v>0</x:v>
      </x:c>
      <x:c r="K22" s="8" t="n">
        <x:v>1</x:v>
      </x:c>
      <x:c r="L22" s="8" t="n">
        <x:v>0</x:v>
      </x:c>
      <x:c r="M22" s="8" t="n">
        <x:v>0</x:v>
      </x:c>
      <x:c r="N22" s="7" t="str"/>
      <x:c r="O22" s="7" t="str">
        <x:v>{"status":"clarification","module":null}</x:v>
      </x:c>
      <x:c r="P22" s="7" t="str">
        <x:v>{"status":"clarification","reason":"health_unsupported","module":null,"draft":null,"fields":null}</x:v>
      </x:c>
      <x:c r="Q22" s="7" t="str">
        <x:v>{"intent":"single_task","module":"health","title":"Drinking Water","notes":"400 millilitres","time_text":"this morning","amount":"400","kind":"expense","category":"Others","account":"Cash"}</x:v>
      </x:c>
      <x:c r="R22" s="8" t="n">
        <x:v>1</x:v>
      </x:c>
      <x:c r="S22" s="8" t="n">
        <x:v>0</x:v>
      </x:c>
      <x:c r="T22" s="8" t="n">
        <x:v>0</x:v>
      </x:c>
      <x:c r="U22" s="8" t="n">
        <x:v>0</x:v>
      </x:c>
      <x:c r="V22" s="7" t="str">
        <x:v>body_logging</x:v>
      </x:c>
    </x:row>
    <x:row r="23" ht="90" customHeight="1">
      <x:c r="A23" s="7" t="str">
        <x:v>mh4-finance-en-14</x:v>
      </x:c>
      <x:c r="B23" s="7" t="str">
        <x:v>finance</x:v>
      </x:c>
      <x:c r="C23" s="7" t="str">
        <x:v>Log a coffee expense today for 0 yuan, cash payment.</x:v>
      </x:c>
      <x:c r="D23" s="7" t="str">
        <x:v>draft</x:v>
      </x:c>
      <x:c r="E23" s="7" t="str">
        <x:v>finance</x:v>
      </x:c>
      <x:c r="F23" s="7" t="str">
        <x:v>draft</x:v>
      </x:c>
      <x:c r="G23" s="7" t="str">
        <x:v>finance</x:v>
      </x:c>
      <x:c r="H23" s="8" t="n">
        <x:v>1</x:v>
      </x:c>
      <x:c r="I23" s="8" t="n">
        <x:v>6</x:v>
      </x:c>
      <x:c r="J23" s="8" t="n">
        <x:v>6</x:v>
      </x:c>
      <x:c r="K23" s="8" t="n">
        <x:v>1</x:v>
      </x:c>
      <x:c r="L23" s="8" t="n">
        <x:v>1</x:v>
      </x:c>
      <x:c r="M23" s="8" t="n">
        <x:v>1</x:v>
      </x:c>
      <x:c r="N23" s="7" t="str"/>
      <x:c r="O23" s="7" t="str">
        <x:v>{"status":"draft","module":"finance","title":{"containsAny":["coffee"]},"amount":null,"kind":"expense","category":"Food &amp; Drinks","account":"Cash","date":"2026-10-06"}</x:v>
      </x:c>
      <x:c r="P23" s="7" t="str">
        <x:v>{"status":"draft","reason":null,"module":"finance","draft":null,"fields":{"id":"da10feb5-a741-41dc-af05-d796d24eb9d4","title":"Coffee Expense","notes":"0 yuan","date":"2026-10-06","time":null,"amount":null,"kind":"expense","category":"Food &amp; Drinks","account":"Cash","timezone":"America/Los_Angeles"}}</x:v>
      </x:c>
      <x:c r="Q23" s="7" t="str">
        <x:v>{"intent":"single_task","module":"finance","title":"Coffee Expense","notes":"0 yuan","date_text":"today","amount":"0","kind":"expense","category":"Others","account":"Cash"}</x:v>
      </x:c>
      <x:c r="R23" s="8" t="n">
        <x:v>1</x:v>
      </x:c>
      <x:c r="S23" s="8" t="n">
        <x:v>1</x:v>
      </x:c>
      <x:c r="T23" s="8" t="n">
        <x:v>1</x:v>
      </x:c>
      <x:c r="U23" s="8" t="n">
        <x:v>1</x:v>
      </x:c>
      <x:c r="V23" s="7" t="str">
        <x:v>invalid_zero</x:v>
      </x:c>
    </x:row>
    <x:row r="24" ht="88" customHeight="1">
      <x:c r="A24" s="7" t="str">
        <x:v>mh4-health-en-15</x:v>
      </x:c>
      <x:c r="B24" s="7" t="str">
        <x:v>health</x:v>
      </x:c>
      <x:c r="C24" s="7" t="str">
        <x:v>In the selected module, display how long I used each application today.</x:v>
      </x:c>
      <x:c r="D24" s="7" t="str">
        <x:v>draft</x:v>
      </x:c>
      <x:c r="E24" s="7" t="str">
        <x:v>health</x:v>
      </x:c>
      <x:c r="F24" s="7" t="str">
        <x:v>draft</x:v>
      </x:c>
      <x:c r="G24" s="7" t="str">
        <x:v>health</x:v>
      </x:c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1</x:v>
      </x:c>
      <x:c r="M24" s="8" t="n">
        <x:v>1</x:v>
      </x:c>
      <x:c r="N24" s="7" t="str"/>
      <x:c r="O24" s="7" t="str">
        <x:v>{"status":"draft","module":"health"}</x:v>
      </x:c>
      <x:c r="P24" s="7" t="str">
        <x:v>{"status":"draft","reason":null,"module":"health","draft":null,"fields":{"id":"dbb40bb9-8e52-4086-adb6-35f758fd0fa5","title":"View phone usage","notes":"","date":"2026-10-06","time":null,"amount":null,"kind":null,"category":null,"account":null,"timezone":"America/Los_Angeles"}}</x:v>
      </x:c>
      <x:c r="Q24" s="7" t="str">
        <x:v>{"intent":"single_task","module":"health","title":"查看手机使用时长","notes":""}</x:v>
      </x:c>
      <x:c r="R24" s="8" t="n">
        <x:v>1</x:v>
      </x:c>
      <x:c r="S24" s="8" t="n">
        <x:v>1</x:v>
      </x:c>
      <x:c r="T24" s="8" t="n">
        <x:v>0</x:v>
      </x:c>
      <x:c r="U24" s="8" t="n">
        <x:v>0</x:v>
      </x:c>
      <x:c r="V24" s="7" t="str">
        <x:v>module_override</x:v>
      </x:c>
    </x:row>
    <x:row r="25" ht="88" customHeight="1">
      <x:c r="A25" s="7" t="str">
        <x:v>mh4-health-en-23</x:v>
      </x:c>
      <x:c r="B25" s="7" t="str">
        <x:v>health</x:v>
      </x:c>
      <x:c r="C25" s="7" t="str">
        <x:v>Find out how long my flatmate used WhatsApp today.</x:v>
      </x:c>
      <x:c r="D25" s="7" t="str">
        <x:v>clarification</x:v>
      </x:c>
      <x:c r="E25" s="7" t="str"/>
      <x:c r="F25" s="7" t="str">
        <x:v>clarification</x:v>
      </x:c>
      <x:c r="G25" s="7" t="str"/>
      <x:c r="H25" s="8" t="n">
        <x:v>1</x:v>
      </x:c>
      <x:c r="I25" s="8" t="n">
        <x:v>0</x:v>
      </x:c>
      <x:c r="J25" s="8" t="n">
        <x:v>0</x:v>
      </x:c>
      <x:c r="K25" s="8" t="n">
        <x:v>1</x:v>
      </x:c>
      <x:c r="L25" s="8" t="n">
        <x:v>0</x:v>
      </x:c>
      <x:c r="M25" s="8" t="n">
        <x:v>0</x:v>
      </x:c>
      <x:c r="N25" s="7" t="str"/>
      <x:c r="O25" s="7" t="str">
        <x:v>{"status":"clarification","module":null}</x:v>
      </x:c>
      <x:c r="P25" s="7" t="str">
        <x:v>{"status":"clarification","reason":"health_unsupported","module":null,"draft":null,"fields":null}</x:v>
      </x:c>
      <x:c r="Q25" s="7" t="str">
        <x:v>{"intent":"single_task","module":"health","title":"查看手机使用时长","notes":""}</x:v>
      </x:c>
      <x:c r="R25" s="8" t="n">
        <x:v>1</x:v>
      </x:c>
      <x:c r="S25" s="8" t="n">
        <x:v>0</x:v>
      </x:c>
      <x:c r="T25" s="8" t="n">
        <x:v>0</x:v>
      </x:c>
      <x:c r="U25" s="8" t="n">
        <x:v>0</x:v>
      </x:c>
      <x:c r="V25" s="7" t="str">
        <x:v>other_person</x:v>
      </x:c>
    </x:row>
    <x:row r="26" ht="88" customHeight="1">
      <x:c r="A26" s="7" t="str">
        <x:v>mh4-schedule-en-22</x:v>
      </x:c>
      <x:c r="B26" s="7" t="str">
        <x:v>schedule</x:v>
      </x:c>
      <x:c r="C26" s="7" t="str">
        <x:v>Use my selected module: review the grocery list tomorrow at 3pm.</x:v>
      </x:c>
      <x:c r="D26" s="7" t="str">
        <x:v>draft</x:v>
      </x:c>
      <x:c r="E26" s="7" t="str">
        <x:v>schedule</x:v>
      </x:c>
      <x:c r="F26" s="7" t="str">
        <x:v>draft</x:v>
      </x:c>
      <x:c r="G26" s="7" t="str">
        <x:v>schedule</x:v>
      </x:c>
      <x:c r="H26" s="8" t="n">
        <x:v>1</x:v>
      </x:c>
      <x:c r="I26" s="8" t="n">
        <x:v>2</x:v>
      </x:c>
      <x:c r="J26" s="8" t="n">
        <x:v>2</x:v>
      </x:c>
      <x:c r="K26" s="8" t="n">
        <x:v>1</x:v>
      </x:c>
      <x:c r="L26" s="8" t="n">
        <x:v>1</x:v>
      </x:c>
      <x:c r="M26" s="8" t="n">
        <x:v>1</x:v>
      </x:c>
      <x:c r="N26" s="7" t="str"/>
      <x:c r="O26" s="7" t="str">
        <x:v>{"status":"draft","module":"schedule","title":{"containsAny":["grocery"]},"date":"2026-10-07","time":"15:00"}</x:v>
      </x:c>
      <x:c r="P26" s="7" t="str">
        <x:v>{"status":"draft","reason":null,"module":"schedule","draft":null,"fields":{"id":"bc326988-dd6d-47a2-aa4b-a6ad4784c859","title":"Review Grocery List","notes":"","date":"2026-10-07","time":"15:00","amount":null,"kind":null,"category":null,"account":null,"timezone":"America/Los_Angeles"}}</x:v>
      </x:c>
      <x:c r="Q26" s="7" t="str">
        <x:v>{"intent":"single_task","module":"memo","title":"Review Grocery List","notes":"","date_text":"tomorrow","time_text":"3pm"}</x:v>
      </x:c>
      <x:c r="R26" s="8" t="n">
        <x:v>1</x:v>
      </x:c>
      <x:c r="S26" s="8" t="n">
        <x:v>0</x:v>
      </x:c>
      <x:c r="T26" s="8" t="n">
        <x:v>1</x:v>
      </x:c>
      <x:c r="U26" s="8" t="n">
        <x:v>1</x:v>
      </x:c>
      <x:c r="V26" s="7" t="str">
        <x:v>module_override</x:v>
      </x:c>
    </x:row>
    <x:row r="27" ht="88" customHeight="1">
      <x:c r="A27" s="7" t="str">
        <x:v>mh4-health-en-22</x:v>
      </x:c>
      <x:c r="B27" s="7" t="str">
        <x:v>health</x:v>
      </x:c>
      <x:c r="C27" s="7" t="str">
        <x:v>Lock my gaming apps until tomorrow morning.</x:v>
      </x:c>
      <x:c r="D27" s="7" t="str">
        <x:v>clarification</x:v>
      </x:c>
      <x:c r="E27" s="7" t="str"/>
      <x:c r="F27" s="7" t="str">
        <x:v>clarification</x:v>
      </x:c>
      <x:c r="G27" s="7" t="str"/>
      <x:c r="H27" s="8" t="n">
        <x:v>1</x:v>
      </x:c>
      <x:c r="I27" s="8" t="n">
        <x:v>0</x:v>
      </x:c>
      <x:c r="J27" s="8" t="n">
        <x:v>0</x:v>
      </x:c>
      <x:c r="K27" s="8" t="n">
        <x:v>1</x:v>
      </x:c>
      <x:c r="L27" s="8" t="n">
        <x:v>0</x:v>
      </x:c>
      <x:c r="M27" s="8" t="n">
        <x:v>0</x:v>
      </x:c>
      <x:c r="N27" s="7" t="str"/>
      <x:c r="O27" s="7" t="str">
        <x:v>{"status":"clarification","module":null}</x:v>
      </x:c>
      <x:c r="P27" s="7" t="str">
        <x:v>{"status":"clarification","reason":"unsupported_action","module":null,"draft":null,"fields":null}</x:v>
      </x:c>
      <x:c r="Q27" s="7" t="str"/>
      <x:c r="R27" s="8" t="n">
        <x:v>0</x:v>
      </x:c>
      <x:c r="S27" s="8"/>
      <x:c r="T27" s="8" t="n">
        <x:v>0</x:v>
      </x:c>
      <x:c r="U27" s="8" t="n">
        <x:v>0</x:v>
      </x:c>
      <x:c r="V27" s="7" t="str">
        <x:v>device_control</x:v>
      </x:c>
    </x:row>
    <x:row r="28" ht="88" customHeight="1">
      <x:c r="A28" s="7" t="str">
        <x:v>mh4-health-en-02</x:v>
      </x:c>
      <x:c r="B28" s="7" t="str">
        <x:v>health</x:v>
      </x:c>
      <x:c r="C28" s="7" t="str">
        <x:v>Let me have a peek at how long each app was used today.</x:v>
      </x:c>
      <x:c r="D28" s="7" t="str">
        <x:v>draft</x:v>
      </x:c>
      <x:c r="E28" s="7" t="str">
        <x:v>health</x:v>
      </x:c>
      <x:c r="F28" s="7" t="str">
        <x:v>draft</x:v>
      </x:c>
      <x:c r="G28" s="7" t="str">
        <x:v>health</x:v>
      </x:c>
      <x:c r="H28" s="8" t="n">
        <x:v>1</x:v>
      </x:c>
      <x:c r="I28" s="8" t="n">
        <x:v>0</x:v>
      </x:c>
      <x:c r="J28" s="8" t="n">
        <x:v>0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{"status":"draft","module":"health"}</x:v>
      </x:c>
      <x:c r="P28" s="7" t="str">
        <x:v>{"status":"draft","reason":null,"module":"health","draft":null,"fields":{"id":"1e2f7e12-9c47-4b26-9216-4abbedb0fa00","title":"View phone usage","notes":"","date":"2026-10-06","time":null,"amount":null,"kind":null,"category":null,"account":null,"timezone":"America/Los_Angeles"}}</x:v>
      </x:c>
      <x:c r="Q28" s="7" t="str">
        <x:v>{"intent":"single_task","module":"health","title":"查看手机使用时长","notes":""}</x:v>
      </x:c>
      <x:c r="R28" s="8" t="n">
        <x:v>1</x:v>
      </x:c>
      <x:c r="S28" s="8" t="n">
        <x:v>1</x:v>
      </x:c>
      <x:c r="T28" s="8" t="n">
        <x:v>0</x:v>
      </x:c>
      <x:c r="U28" s="8" t="n">
        <x:v>0</x:v>
      </x:c>
      <x:c r="V28" s="7" t="str">
        <x:v>colloquial</x:v>
      </x:c>
    </x:row>
    <x:row r="29" ht="88" customHeight="1">
      <x:c r="A29" s="7" t="str">
        <x:v>mh4-finance-en-12</x:v>
      </x:c>
      <x:c r="B29" s="7" t="str">
        <x:v>finance</x:v>
      </x:c>
      <x:c r="C29" s="7" t="str">
        <x:v>Lunch today was 27 yuan; the payment account escapes me.</x:v>
      </x:c>
      <x:c r="D29" s="7" t="str">
        <x:v>draft</x:v>
      </x:c>
      <x:c r="E29" s="7" t="str">
        <x:v>finance</x:v>
      </x:c>
      <x:c r="F29" s="7" t="str">
        <x:v>draft</x:v>
      </x:c>
      <x:c r="G29" s="7" t="str">
        <x:v>finance</x:v>
      </x:c>
      <x:c r="H29" s="8" t="n">
        <x:v>1</x:v>
      </x:c>
      <x:c r="I29" s="8" t="n">
        <x:v>5</x:v>
      </x:c>
      <x:c r="J29" s="8" t="n">
        <x:v>6</x:v>
      </x:c>
      <x:c r="K29" s="8" t="n">
        <x:v>0</x:v>
      </x:c>
      <x:c r="L29" s="8" t="n">
        <x:v>1</x:v>
      </x:c>
      <x:c r="M29" s="8" t="n">
        <x:v>0</x:v>
      </x:c>
      <x:c r="N29" s="7" t="str">
        <x:v>kind</x:v>
      </x:c>
      <x:c r="O29" s="7" t="str">
        <x:v>{"status":"draft","module":"finance","title":{"containsAny":["lunch"]},"amount":"27","kind":"expense","category":"Food &amp; Drinks","account":null,"date":"2026-10-06"}</x:v>
      </x:c>
      <x:c r="P29" s="7" t="str">
        <x:v>{"status":"draft","reason":null,"module":"finance","draft":null,"fields":{"id":"5ba2b57a-4496-4740-bff6-1a22449841b5","title":"Lunch","notes":"","date":"2026-10-06","time":null,"amount":"27","kind":null,"category":"Food &amp; Drinks","account":null,"timezone":"America/Los_Angeles"}}</x:v>
      </x:c>
      <x:c r="Q29" s="7" t="str">
        <x:v>{"intent":"single_task","module":"finance","title":"Lunch","notes":"","date_text":"today","amount":"27","kind":"expense","category":"Food &amp; Drinks","account":null}</x:v>
      </x:c>
      <x:c r="R29" s="8" t="n">
        <x:v>1</x:v>
      </x:c>
      <x:c r="S29" s="8" t="n">
        <x:v>1</x:v>
      </x:c>
      <x:c r="T29" s="8" t="n">
        <x:v>1</x:v>
      </x:c>
      <x:c r="U29" s="8" t="n">
        <x:v>1</x:v>
      </x:c>
      <x:c r="V29" s="7" t="str">
        <x:v>missing_account</x:v>
      </x:c>
    </x:row>
    <x:row r="30" ht="88" customHeight="1">
      <x:c r="A30" s="7" t="str">
        <x:v>mh4-health-en-21</x:v>
      </x:c>
      <x:c r="B30" s="7" t="str">
        <x:v>health</x:v>
      </x:c>
      <x:c r="C30" s="7" t="str">
        <x:v>Record a body temperature of 36.8 in Health.</x:v>
      </x:c>
      <x:c r="D30" s="7" t="str">
        <x:v>clarification</x:v>
      </x:c>
      <x:c r="E30" s="7" t="str"/>
      <x:c r="F30" s="7" t="str">
        <x:v>clarification</x:v>
      </x:c>
      <x:c r="G30" s="7" t="str"/>
      <x:c r="H30" s="8" t="n">
        <x:v>1</x:v>
      </x:c>
      <x:c r="I30" s="8" t="n">
        <x:v>0</x:v>
      </x:c>
      <x:c r="J30" s="8" t="n">
        <x:v>0</x:v>
      </x:c>
      <x:c r="K30" s="8" t="n">
        <x:v>1</x:v>
      </x:c>
      <x:c r="L30" s="8" t="n">
        <x:v>0</x:v>
      </x:c>
      <x:c r="M30" s="8" t="n">
        <x:v>0</x:v>
      </x:c>
      <x:c r="N30" s="7" t="str"/>
      <x:c r="O30" s="7" t="str">
        <x:v>{"status":"clarification","module":null}</x:v>
      </x:c>
      <x:c r="P30" s="7" t="str">
        <x:v>{"status":"clarification","reason":"health_unsupported","module":null,"draft":null,"fields":null}</x:v>
      </x:c>
      <x:c r="Q30" s="7" t="str">
        <x:v>{"intent":"single_task","module":"health","title":"Record Body Temperature","notes":"36.8","date_text":"null","time_text":"null","priority":"null","kind":"Others","category":"Health","account":"null"}</x:v>
      </x:c>
      <x:c r="R30" s="8" t="n">
        <x:v>1</x:v>
      </x:c>
      <x:c r="S30" s="8" t="n">
        <x:v>0</x:v>
      </x:c>
      <x:c r="T30" s="8" t="n">
        <x:v>0</x:v>
      </x:c>
      <x:c r="U30" s="8" t="n">
        <x:v>0</x:v>
      </x:c>
      <x:c r="V30" s="7" t="str">
        <x:v>body_logging</x:v>
      </x:c>
    </x:row>
    <x:row r="31" ht="88" customHeight="1">
      <x:c r="A31" s="7" t="str">
        <x:v>mh4-memo-en-06</x:v>
      </x:c>
      <x:c r="B31" s="7" t="str">
        <x:v>memo</x:v>
      </x:c>
      <x:c r="C31" s="7" t="str">
        <x:v>Put buying a suitcase on the wishlist as a task; my budget is 450 yuan and I have paid nothing yet.</x:v>
      </x:c>
      <x:c r="D31" s="7" t="str">
        <x:v>draft</x:v>
      </x:c>
      <x:c r="E31" s="7" t="str">
        <x:v>memo</x:v>
      </x:c>
      <x:c r="F31" s="7" t="str">
        <x:v>draft</x:v>
      </x:c>
      <x:c r="G31" s="7" t="str">
        <x:v>memo</x:v>
      </x:c>
      <x:c r="H31" s="8" t="n">
        <x:v>1</x:v>
      </x:c>
      <x:c r="I31" s="8" t="n">
        <x:v>1</x:v>
      </x:c>
      <x:c r="J31" s="8" t="n">
        <x:v>1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{"status":"draft","module":"memo","title":{"containsAny":["suitcase"]},"date":null,"priority":null}</x:v>
      </x:c>
      <x:c r="P31" s="7" t="str">
        <x:v>{"status":"draft","reason":null,"draft":{"id":"acd47f49-f2d9-4a93-b4c3-053d796dcca4","title":"Buy a suitcase","notes":"wishlist","dueDate":null,"timezone":"America/Los_Angeles","priority":null,"dateText":null,"warnings":["date_missing","priority_missing"]},"module":"memo","fields":null}</x:v>
      </x:c>
      <x:c r="Q31" s="7" t="str">
        <x:v>{"intent":"single_task","module":"memo","title":"Buy a suitcase","notes":"wishlist","date_text":"absent","time_text":"absent","priority":"normal","amount":"450","kind":"expense","category":"Others","account":"Absent"}</x:v>
      </x:c>
      <x:c r="R31" s="8" t="n">
        <x:v>1</x:v>
      </x:c>
      <x:c r="S31" s="8" t="n">
        <x:v>1</x:v>
      </x:c>
      <x:c r="T31" s="8" t="n">
        <x:v>1</x:v>
      </x:c>
      <x:c r="U31" s="8" t="n">
        <x:v>1</x:v>
      </x:c>
      <x:c r="V31" s="7" t="str">
        <x:v>future_purchase</x:v>
      </x:c>
    </x:row>
    <x:row r="32" ht="88" customHeight="1">
      <x:c r="A32" s="7" t="str">
        <x:v>mh4-schedule-en-07</x:v>
      </x:c>
      <x:c r="B32" s="7" t="str">
        <x:v>schedule</x:v>
      </x:c>
      <x:c r="C32" s="7" t="str">
        <x:v>My poetry reading is tomorrow, but the exact start time has not been announced. Add an event.</x:v>
      </x:c>
      <x:c r="D32" s="7" t="str">
        <x:v>draft</x:v>
      </x:c>
      <x:c r="E32" s="7" t="str">
        <x:v>schedule</x:v>
      </x:c>
      <x:c r="F32" s="7" t="str">
        <x:v>draft</x:v>
      </x:c>
      <x:c r="G32" s="7" t="str">
        <x:v>schedule</x:v>
      </x:c>
      <x:c r="H32" s="8" t="n">
        <x:v>1</x:v>
      </x:c>
      <x:c r="I32" s="8" t="n">
        <x:v>2</x:v>
      </x:c>
      <x:c r="J32" s="8" t="n">
        <x:v>2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{"status":"draft","module":"schedule","title":{"containsAny":["poetry"]},"date":"2026-10-07","time":null}</x:v>
      </x:c>
      <x:c r="P32" s="7" t="str">
        <x:v>{"status":"draft","reason":null,"module":"schedule","draft":null,"fields":{"id":"076e2442-7ca3-4563-8cfb-b5abd9607f6b","title":"Poetry Reading","notes":"tomorrow","date":"2026-10-07","time":null,"amount":null,"kind":null,"category":null,"account":null,"timezone":"America/Los_Angeles"}}</x:v>
      </x:c>
      <x:c r="Q32" s="7" t="str">
        <x:v>{"intent":"single_task","module":"schedule","title":"Poetry Reading","notes":"tomorrow","time_text":"exact start time has not been announced"}</x:v>
      </x:c>
      <x:c r="R32" s="8" t="n">
        <x:v>1</x:v>
      </x:c>
      <x:c r="S32" s="8" t="n">
        <x:v>1</x:v>
      </x:c>
      <x:c r="T32" s="8" t="n">
        <x:v>1</x:v>
      </x:c>
      <x:c r="U32" s="8" t="n">
        <x:v>1</x:v>
      </x:c>
      <x:c r="V32" s="7" t="str">
        <x:v>missing_time</x:v>
      </x:c>
    </x:row>
    <x:row r="33" ht="88" customHeight="1">
      <x:c r="A33" s="7" t="str">
        <x:v>mh4-health-en-05</x:v>
      </x:c>
      <x:c r="B33" s="7" t="str">
        <x:v>health</x:v>
      </x:c>
      <x:c r="C33" s="7" t="str">
        <x:v>What is the accumulated screen-on time for today?</x:v>
      </x:c>
      <x:c r="D33" s="7" t="str">
        <x:v>draft</x:v>
      </x:c>
      <x:c r="E33" s="7" t="str">
        <x:v>health</x:v>
      </x:c>
      <x:c r="F33" s="7" t="str">
        <x:v>draft</x:v>
      </x:c>
      <x:c r="G33" s="7" t="str">
        <x:v>health</x:v>
      </x:c>
      <x:c r="H33" s="8" t="n">
        <x:v>1</x:v>
      </x:c>
      <x:c r="I33" s="8" t="n">
        <x:v>0</x:v>
      </x:c>
      <x:c r="J33" s="8" t="n">
        <x:v>0</x:v>
      </x:c>
      <x:c r="K33" s="8" t="n">
        <x:v>1</x:v>
      </x:c>
      <x:c r="L33" s="8" t="n">
        <x:v>1</x:v>
      </x:c>
      <x:c r="M33" s="8" t="n">
        <x:v>1</x:v>
      </x:c>
      <x:c r="N33" s="7" t="str"/>
      <x:c r="O33" s="7" t="str">
        <x:v>{"status":"draft","module":"health"}</x:v>
      </x:c>
      <x:c r="P33" s="7" t="str">
        <x:v>{"status":"draft","reason":null,"module":"health","draft":null,"fields":{"id":"e99d5cc5-9211-46f2-a792-fd7383812023","title":"View phone usage","notes":"","date":"2026-10-06","time":null,"amount":null,"kind":null,"category":null,"account":null,"timezone":"America/Los_Angeles"}}</x:v>
      </x:c>
      <x:c r="Q33" s="7" t="str">
        <x:v>{"intent":"single_task","module":"health","title":"查看手机使用时长","notes":""}</x:v>
      </x:c>
      <x:c r="R33" s="8" t="n">
        <x:v>1</x:v>
      </x:c>
      <x:c r="S33" s="8" t="n">
        <x:v>1</x:v>
      </x:c>
      <x:c r="T33" s="8" t="n">
        <x:v>0</x:v>
      </x:c>
      <x:c r="U33" s="8" t="n">
        <x:v>0</x:v>
      </x:c>
      <x:c r="V33" s="7" t="str">
        <x:v>usage_query</x:v>
      </x:c>
    </x:row>
    <x:row r="34" ht="88" customHeight="1">
      <x:c r="A34" s="7" t="str">
        <x:v>mh4-memo-en-15</x:v>
      </x:c>
      <x:c r="B34" s="7" t="str">
        <x:v>memo</x:v>
      </x:c>
      <x:c r="C34" s="7" t="str">
        <x:v>I need a task for proofreading the poster, with the priority left undecided.</x:v>
      </x:c>
      <x:c r="D34" s="7" t="str">
        <x:v>draft</x:v>
      </x:c>
      <x:c r="E34" s="7" t="str">
        <x:v>memo</x:v>
      </x:c>
      <x:c r="F34" s="7" t="str">
        <x:v>draft</x:v>
      </x:c>
      <x:c r="G34" s="7" t="str">
        <x:v>memo</x:v>
      </x:c>
      <x:c r="H34" s="8" t="n">
        <x:v>1</x:v>
      </x:c>
      <x:c r="I34" s="8" t="n">
        <x:v>1</x:v>
      </x:c>
      <x:c r="J34" s="8" t="n">
        <x:v>1</x:v>
      </x:c>
      <x:c r="K34" s="8" t="n">
        <x:v>1</x:v>
      </x:c>
      <x:c r="L34" s="8" t="n">
        <x:v>1</x:v>
      </x:c>
      <x:c r="M34" s="8" t="n">
        <x:v>1</x:v>
      </x:c>
      <x:c r="N34" s="7" t="str"/>
      <x:c r="O34" s="7" t="str">
        <x:v>{"status":"draft","module":"memo","title":{"containsAny":["poster"]},"date":null,"priority":null}</x:v>
      </x:c>
      <x:c r="P34" s="7" t="str">
        <x:v>{"status":"draft","reason":null,"draft":{"id":"3967df42-4731-462f-8069-3f750244752d","title":"Proofread the poster","notes":"","dueDate":null,"timezone":"America/Los_Angeles","priority":null,"dateText":"undecided","warnings":["date_needs_review","priority_missing"]},"module":"memo","fields":null}</x:v>
      </x:c>
      <x:c r="Q34" s="7" t="str">
        <x:v>{"intent":"single_task","module":"memo","title":"Proofread the poster","notes":"","date_text":"undecided","priority":"undecided"}</x:v>
      </x:c>
      <x:c r="R34" s="8" t="n">
        <x:v>1</x:v>
      </x:c>
      <x:c r="S34" s="8" t="n">
        <x:v>1</x:v>
      </x:c>
      <x:c r="T34" s="8" t="n">
        <x:v>1</x:v>
      </x:c>
      <x:c r="U34" s="8" t="n">
        <x:v>1</x:v>
      </x:c>
      <x:c r="V34" s="7" t="str">
        <x:v>missing_priority</x:v>
      </x:c>
    </x:row>
    <x:row r="35" ht="90" customHeight="1">
      <x:c r="A35" s="7" t="str">
        <x:v>mh4-schedule-en-13</x:v>
      </x:c>
      <x:c r="B35" s="7" t="str">
        <x:v>schedule</x:v>
      </x:c>
      <x:c r="C35" s="7" t="str">
        <x:v>Calendar: 明天 at 11am, camera repair collection.</x:v>
      </x:c>
      <x:c r="D35" s="7" t="str">
        <x:v>draft</x:v>
      </x:c>
      <x:c r="E35" s="7" t="str">
        <x:v>schedule</x:v>
      </x:c>
      <x:c r="F35" s="7" t="str">
        <x:v>draft</x:v>
      </x:c>
      <x:c r="G35" s="7" t="str">
        <x:v>schedule</x:v>
      </x:c>
      <x:c r="H35" s="8" t="n">
        <x:v>1</x:v>
      </x:c>
      <x:c r="I35" s="8" t="n">
        <x:v>2</x:v>
      </x:c>
      <x:c r="J35" s="8" t="n">
        <x:v>2</x:v>
      </x:c>
      <x:c r="K35" s="8" t="n">
        <x:v>1</x:v>
      </x:c>
      <x:c r="L35" s="8" t="n">
        <x:v>1</x:v>
      </x:c>
      <x:c r="M35" s="8" t="n">
        <x:v>1</x:v>
      </x:c>
      <x:c r="N35" s="7" t="str"/>
      <x:c r="O35" s="7" t="str">
        <x:v>{"status":"draft","module":"schedule","title":{"containsAny":["camera"]},"date":"2026-10-07","time":"11:00"}</x:v>
      </x:c>
      <x:c r="P35" s="7" t="str">
        <x:v>{"status":"draft","reason":null,"module":"schedule","draft":null,"fields":{"id":"25231d22-2cf8-42ca-97a9-8ff8c58ab1a6","title":"Camera Repair Collection","notes":"明天 at 11am","date":"2026-10-07","time":"11:00","amount":null,"kind":null,"category":null,"account":null,"timezone":"America/Los_Angeles"}}</x:v>
      </x:c>
      <x:c r="Q35" s="7" t="str">
        <x:v>{"intent":"single_task","module":"schedule","title":"Camera Repair Collection","notes":"明天 at 11am","date_text":"明天","time_text":"11am"}</x:v>
      </x:c>
      <x:c r="R35" s="8" t="n">
        <x:v>1</x:v>
      </x:c>
      <x:c r="S35" s="8" t="n">
        <x:v>1</x:v>
      </x:c>
      <x:c r="T35" s="8" t="n">
        <x:v>1</x:v>
      </x:c>
      <x:c r="U35" s="8" t="n">
        <x:v>1</x:v>
      </x:c>
      <x:c r="V35" s="7" t="str">
        <x:v>mixed_language</x:v>
      </x:c>
    </x:row>
    <x:row r="36" ht="88" customHeight="1">
      <x:c r="A36" s="7" t="str">
        <x:v>mh4-finance-en-04</x:v>
      </x:c>
      <x:c r="B36" s="7" t="str">
        <x:v>finance</x:v>
      </x:c>
      <x:c r="C36" s="7" t="str">
        <x:v>Cinema tickets yesterday cost 58 yuan on my bank card.</x:v>
      </x:c>
      <x:c r="D36" s="7" t="str">
        <x:v>draft</x:v>
      </x:c>
      <x:c r="E36" s="7" t="str">
        <x:v>finance</x:v>
      </x:c>
      <x:c r="F36" s="7" t="str">
        <x:v>draft</x:v>
      </x:c>
      <x:c r="G36" s="7" t="str">
        <x:v>finance</x:v>
      </x:c>
      <x:c r="H36" s="8" t="n">
        <x:v>1</x:v>
      </x:c>
      <x:c r="I36" s="8" t="n">
        <x:v>6</x:v>
      </x:c>
      <x:c r="J36" s="8" t="n">
        <x:v>6</x:v>
      </x:c>
      <x:c r="K36" s="8" t="n">
        <x:v>1</x:v>
      </x:c>
      <x:c r="L36" s="8" t="n">
        <x:v>1</x:v>
      </x:c>
      <x:c r="M36" s="8" t="n">
        <x:v>1</x:v>
      </x:c>
      <x:c r="N36" s="7" t="str"/>
      <x:c r="O36" s="7" t="str">
        <x:v>{"status":"draft","module":"finance","title":{"containsAny":["cinema","ticket"]},"amount":"58","kind":"expense","category":"Entertainment","account":"Bank Card","date":"2026-10-05"}</x:v>
      </x:c>
      <x:c r="P36" s="7" t="str">
        <x:v>{"status":"draft","reason":null,"module":"finance","draft":null,"fields":{"id":"eaf5ba26-b0f9-4e79-9d1e-aa830225a678","title":"Cinema tickets","notes":"","date":"2026-10-05","time":null,"amount":"58","kind":"expense","category":"Entertainment","account":"Bank Card","timezone":"America/Los_Angeles"}}</x:v>
      </x:c>
      <x:c r="Q36" s="7" t="str">
        <x:v>{"intent":"single_task","module":"finance","title":"Cinema tickets","notes":"","date_text":"yesterday","amount":"58","kind":"expense","category":"Entertainment","account":"Bank Card"}</x:v>
      </x:c>
      <x:c r="R36" s="8" t="n">
        <x:v>1</x:v>
      </x:c>
      <x:c r="S36" s="8" t="n">
        <x:v>1</x:v>
      </x:c>
      <x:c r="T36" s="8" t="n">
        <x:v>1</x:v>
      </x:c>
      <x:c r="U36" s="8" t="n">
        <x:v>1</x:v>
      </x:c>
      <x:c r="V36" s="7" t="str">
        <x:v>complete</x:v>
      </x:c>
    </x:row>
    <x:row r="37" ht="90" customHeight="1">
      <x:c r="A37" s="7" t="str">
        <x:v>mh4-schedule-en-28</x:v>
      </x:c>
      <x:c r="B37" s="7" t="str">
        <x:v>schedule</x:v>
      </x:c>
      <x:c r="C37" s="7" t="str">
        <x:v>Add an interview tomorrow morning and then a second interview the following afternoon.</x:v>
      </x:c>
      <x:c r="D37" s="7" t="str">
        <x:v>clarification</x:v>
      </x:c>
      <x:c r="E37" s="7" t="str"/>
      <x:c r="F37" s="7" t="str">
        <x:v>draft</x:v>
      </x:c>
      <x:c r="G37" s="7" t="str">
        <x:v>schedule</x:v>
      </x:c>
      <x:c r="H37" s="8" t="n">
        <x:v>0</x:v>
      </x:c>
      <x:c r="I37" s="8" t="n">
        <x:v>0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7" t="str">
        <x:v>status, module</x:v>
      </x:c>
      <x:c r="O37" s="7" t="str">
        <x:v>{"status":"clarification","module":null}</x:v>
      </x:c>
      <x:c r="P37" s="7" t="str">
        <x:v>{"status":"draft","reason":null,"module":"schedule","draft":null,"fields":{"id":"7326e55f-2d1b-4e61-adcc-ae902672bb7a","title":"Interviews","notes":"Add an interview tomorrow morning and then a second interview the following afternoon","date":"2026-10-07","time":null,"amount":null,"kind":null,"category":null,"account":null,"timezone":"America/Los_Angeles"}}</x:v>
      </x:c>
      <x:c r="Q37" s="7" t="str">
        <x:v>{"intent":"single_task","module":"schedule","title":"Interviews","notes":"Add an interview tomorrow morning and then a second interview the following afternoon"}</x:v>
      </x:c>
      <x:c r="R37" s="8" t="n">
        <x:v>1</x:v>
      </x:c>
      <x:c r="S37" s="8" t="n">
        <x:v>0</x:v>
      </x:c>
      <x:c r="T37" s="8" t="n">
        <x:v>0</x:v>
      </x:c>
      <x:c r="U37" s="8" t="n">
        <x:v>0</x:v>
      </x:c>
      <x:c r="V37" s="7" t="str">
        <x:v>multiple_actions</x:v>
      </x:c>
    </x:row>
    <x:row r="38" ht="88" customHeight="1">
      <x:c r="A38" s="7" t="str">
        <x:v>mh4-schedule-en-10</x:v>
      </x:c>
      <x:c r="B38" s="7" t="str">
        <x:v>schedule</x:v>
      </x:c>
      <x:c r="C38" s="7" t="str">
        <x:v>The rehearsal will be Wednesday or Thursday at 1pm; the day is undecided.</x:v>
      </x:c>
      <x:c r="D38" s="7" t="str">
        <x:v>draft</x:v>
      </x:c>
      <x:c r="E38" s="7" t="str">
        <x:v>schedule</x:v>
      </x:c>
      <x:c r="F38" s="7" t="str">
        <x:v>draft</x:v>
      </x:c>
      <x:c r="G38" s="7" t="str">
        <x:v>schedule</x:v>
      </x:c>
      <x:c r="H38" s="8" t="n">
        <x:v>1</x:v>
      </x:c>
      <x:c r="I38" s="8" t="n">
        <x:v>2</x:v>
      </x:c>
      <x:c r="J38" s="8" t="n">
        <x:v>2</x:v>
      </x:c>
      <x:c r="K38" s="8" t="n">
        <x:v>1</x:v>
      </x:c>
      <x:c r="L38" s="8" t="n">
        <x:v>1</x:v>
      </x:c>
      <x:c r="M38" s="8" t="n">
        <x:v>1</x:v>
      </x:c>
      <x:c r="N38" s="7" t="str"/>
      <x:c r="O38" s="7" t="str">
        <x:v>{"status":"draft","module":"schedule","title":{"containsAny":["rehearsal"]},"date":null,"time":"13:00"}</x:v>
      </x:c>
      <x:c r="P38" s="7" t="str">
        <x:v>{"status":"draft","reason":null,"module":"schedule","draft":null,"fields":{"id":"35933b00-300d-45e0-b0ee-6f0a71be957f","title":"Rehearsal","notes":"","date":null,"time":"13:00","amount":null,"kind":null,"category":null,"account":null,"timezone":"America/Los_Angeles"}}</x:v>
      </x:c>
      <x:c r="Q38" s="7" t="str">
        <x:v>{"intent":"single_task","module":"schedule","title":"Rehearsal","notes":"","date_text":"undecided","time_text":"1pm"}</x:v>
      </x:c>
      <x:c r="R38" s="8" t="n">
        <x:v>1</x:v>
      </x:c>
      <x:c r="S38" s="8" t="n">
        <x:v>1</x:v>
      </x:c>
      <x:c r="T38" s="8" t="n">
        <x:v>1</x:v>
      </x:c>
      <x:c r="U38" s="8" t="n">
        <x:v>1</x:v>
      </x:c>
      <x:c r="V38" s="7" t="str">
        <x:v>uncertain_date</x:v>
      </x:c>
    </x:row>
    <x:row r="39" ht="90" customHeight="1">
      <x:c r="A39" s="7" t="str">
        <x:v>mh4-finance-en-21</x:v>
      </x:c>
      <x:c r="B39" s="7" t="str">
        <x:v>finance</x:v>
      </x:c>
      <x:c r="C39" s="7" t="str">
        <x:v>Already paid, not a shopping task: coffee 今天 23元 using 微信 ☕.</x:v>
      </x:c>
      <x:c r="D39" s="7" t="str">
        <x:v>draft</x:v>
      </x:c>
      <x:c r="E39" s="7" t="str">
        <x:v>finance</x:v>
      </x:c>
      <x:c r="F39" s="7" t="str">
        <x:v>draft</x:v>
      </x:c>
      <x:c r="G39" s="7" t="str">
        <x:v>memo</x:v>
      </x:c>
      <x:c r="H39" s="8" t="n">
        <x:v>0</x:v>
      </x:c>
      <x:c r="I39" s="8" t="n">
        <x:v>2</x:v>
      </x:c>
      <x:c r="J39" s="8" t="n">
        <x:v>6</x:v>
      </x:c>
      <x:c r="K39" s="8" t="n">
        <x:v>0</x:v>
      </x:c>
      <x:c r="L39" s="8" t="n">
        <x:v>1</x:v>
      </x:c>
      <x:c r="M39" s="8" t="n">
        <x:v>0</x:v>
      </x:c>
      <x:c r="N39" s="7" t="str">
        <x:v>module, amount, kind, category, account</x:v>
      </x:c>
      <x:c r="O39" s="7" t="str">
        <x:v>{"status":"draft","module":"finance","title":{"containsAny":["coffee","咖啡"]},"amount":"23","kind":"expense","category":"Food &amp; Drinks","account":"WeChat","date":"2026-10-06"}</x:v>
      </x:c>
      <x:c r="P39" s="7" t="str">
        <x:v>{"status":"draft","reason":null,"draft":{"id":"55e98e67-4be8-43d9-9d3e-350c5dee4d8c","title":"Already paid, not a shopping task: coffee 今天 23元 using 微信 ☕.","notes":"","dueDate":"2026-10-06","timezone":"America/Los_Angeles","priority":null,"dateText":"今天","warnings":["priority_missing"]},"module":"memo","fields":null}</x:v>
      </x:c>
      <x:c r="Q39" s="7" t="str">
        <x:v>{"intent":"single_task","module":"finance","title":"咖啡","notes":"","date_text":"今天","amount":"23","kind":"expense","category":"Food &amp; Drinks","account":"WeChat"}</x:v>
      </x:c>
      <x:c r="R39" s="8" t="n">
        <x:v>1</x:v>
      </x:c>
      <x:c r="S39" s="8" t="n">
        <x:v>1</x:v>
      </x:c>
      <x:c r="T39" s="8" t="n">
        <x:v>1</x:v>
      </x:c>
      <x:c r="U39" s="8" t="n">
        <x:v>1</x:v>
      </x:c>
      <x:c r="V39" s="7" t="str">
        <x:v>mixed_language</x:v>
      </x:c>
    </x:row>
    <x:row r="40" ht="88" customHeight="1">
      <x:c r="A40" s="7" t="str">
        <x:v>mh4-schedule-en-19</x:v>
      </x:c>
      <x:c r="B40" s="7" t="str">
        <x:v>schedule</x:v>
      </x:c>
      <x:c r="C40" s="7" t="str">
        <x:v>Tomorrow at 12:15am I must meet the night train. Create an event.</x:v>
      </x:c>
      <x:c r="D40" s="7" t="str">
        <x:v>draft</x:v>
      </x:c>
      <x:c r="E40" s="7" t="str">
        <x:v>schedule</x:v>
      </x:c>
      <x:c r="F40" s="7" t="str">
        <x:v>draft</x:v>
      </x:c>
      <x:c r="G40" s="7" t="str">
        <x:v>schedule</x:v>
      </x:c>
      <x:c r="H40" s="8" t="n">
        <x:v>1</x:v>
      </x:c>
      <x:c r="I40" s="8" t="n">
        <x:v>2</x:v>
      </x:c>
      <x:c r="J40" s="8" t="n">
        <x:v>2</x:v>
      </x:c>
      <x:c r="K40" s="8" t="n">
        <x:v>1</x:v>
      </x:c>
      <x:c r="L40" s="8" t="n">
        <x:v>1</x:v>
      </x:c>
      <x:c r="M40" s="8" t="n">
        <x:v>1</x:v>
      </x:c>
      <x:c r="N40" s="7" t="str"/>
      <x:c r="O40" s="7" t="str">
        <x:v>{"status":"draft","module":"schedule","title":{"containsAny":["train"]},"date":"2026-10-07","time":"00:15"}</x:v>
      </x:c>
      <x:c r="P40" s="7" t="str">
        <x:v>{"status":"draft","reason":null,"module":"schedule","draft":null,"fields":{"id":"4cb74556-cd8d-478a-850c-de02ade1f5cc","title":"Night Train Meeting","notes":"12:15am","date":"2026-10-07","time":"00:15","amount":null,"kind":null,"category":null,"account":null,"timezone":"America/Los_Angeles"}}</x:v>
      </x:c>
      <x:c r="Q40" s="7" t="str">
        <x:v>{"intent":"single_task","module":"schedule","title":"Night Train Meeting","notes":"12:15am","date_text":"tomorrow","time_text":"12:15am"}</x:v>
      </x:c>
      <x:c r="R40" s="8" t="n">
        <x:v>1</x:v>
      </x:c>
      <x:c r="S40" s="8" t="n">
        <x:v>1</x:v>
      </x:c>
      <x:c r="T40" s="8" t="n">
        <x:v>1</x:v>
      </x:c>
      <x:c r="U40" s="8" t="n">
        <x:v>1</x:v>
      </x:c>
      <x:c r="V40" s="7" t="str">
        <x:v>midnight</x:v>
      </x:c>
    </x:row>
    <x:row r="41" ht="88" customHeight="1">
      <x:c r="A41" s="7" t="str">
        <x:v>mh4-schedule-en-15</x:v>
      </x:c>
      <x:c r="B41" s="7" t="str">
        <x:v>schedule</x:v>
      </x:c>
      <x:c r="C41" s="7" t="str">
        <x:v>Tomorrow 2:20pm is the pickup of my repaired violin; add it to my calendar.</x:v>
      </x:c>
      <x:c r="D41" s="7" t="str">
        <x:v>draft</x:v>
      </x:c>
      <x:c r="E41" s="7" t="str">
        <x:v>schedule</x:v>
      </x:c>
      <x:c r="F41" s="7" t="str">
        <x:v>draft</x:v>
      </x:c>
      <x:c r="G41" s="7" t="str">
        <x:v>schedule</x:v>
      </x:c>
      <x:c r="H41" s="8" t="n">
        <x:v>1</x:v>
      </x:c>
      <x:c r="I41" s="8" t="n">
        <x:v>2</x:v>
      </x:c>
      <x:c r="J41" s="8" t="n">
        <x:v>2</x:v>
      </x:c>
      <x:c r="K41" s="8" t="n">
        <x:v>1</x:v>
      </x:c>
      <x:c r="L41" s="8" t="n">
        <x:v>1</x:v>
      </x:c>
      <x:c r="M41" s="8" t="n">
        <x:v>1</x:v>
      </x:c>
      <x:c r="N41" s="7" t="str"/>
      <x:c r="O41" s="7" t="str">
        <x:v>{"status":"draft","module":"schedule","title":{"containsAny":["violin"]},"date":"2026-10-07","time":"14:20"}</x:v>
      </x:c>
      <x:c r="P41" s="7" t="str">
        <x:v>{"status":"draft","reason":null,"module":"schedule","draft":null,"fields":{"id":"346ec1e2-6a22-45c6-a9be-cabe1f378dfe","title":"Pickup of my repaired violin","notes":"","date":"2026-10-07","time":"14:20","amount":null,"kind":null,"category":null,"account":null,"timezone":"America/Los_Angeles"}}</x:v>
      </x:c>
      <x:c r="Q41" s="7" t="str">
        <x:v>{"intent":"single_task","module":"schedule","title":"Pickup of my repaired violin","notes":"","date_text":"Tomorrow","time_text":"2:20pm"}</x:v>
      </x:c>
      <x:c r="R41" s="8" t="n">
        <x:v>1</x:v>
      </x:c>
      <x:c r="S41" s="8" t="n">
        <x:v>1</x:v>
      </x:c>
      <x:c r="T41" s="8" t="n">
        <x:v>1</x:v>
      </x:c>
      <x:c r="U41" s="8" t="n">
        <x:v>1</x:v>
      </x:c>
      <x:c r="V41" s="7" t="str">
        <x:v>specific_subject</x:v>
      </x:c>
    </x:row>
    <x:row r="42" ht="88" customHeight="1">
      <x:c r="A42" s="7" t="str">
        <x:v>mh4-finance-en-26</x:v>
      </x:c>
      <x:c r="B42" s="7" t="str">
        <x:v>finance</x:v>
      </x:c>
      <x:c r="C42" s="7" t="str">
        <x:v>What is the current balance of my cash account?</x:v>
      </x:c>
      <x:c r="D42" s="7" t="str">
        <x:v>clarification</x:v>
      </x:c>
      <x:c r="E42" s="7" t="str"/>
      <x:c r="F42" s="7" t="str">
        <x:v>draft</x:v>
      </x:c>
      <x:c r="G42" s="7" t="str">
        <x:v>finance</x:v>
      </x:c>
      <x:c r="H42" s="8" t="n">
        <x:v>0</x:v>
      </x:c>
      <x:c r="I42" s="8" t="n">
        <x:v>0</x:v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  <x:c r="N42" s="7" t="str">
        <x:v>status, module</x:v>
      </x:c>
      <x:c r="O42" s="7" t="str">
        <x:v>{"status":"clarification","module":null}</x:v>
      </x:c>
      <x:c r="P42" s="7" t="str">
        <x:v>{"status":"draft","reason":null,"module":"finance","draft":null,"fields":{"id":"a1ed22c0-c87f-49b0-bee5-904fa7b85a50","title":"Current Balance","notes":"Cash Account","date":null,"time":null,"amount":null,"kind":null,"category":null,"account":"Cash","timezone":"America/Los_Angeles"}}</x:v>
      </x:c>
      <x:c r="Q42" s="7" t="str">
        <x:v>{"intent":"single_task","module":"finance","title":"Current Balance","notes":"Cash Account","date_text":"today","account":"Cash"}</x:v>
      </x:c>
      <x:c r="R42" s="8" t="n">
        <x:v>1</x:v>
      </x:c>
      <x:c r="S42" s="8" t="n">
        <x:v>0</x:v>
      </x:c>
      <x:c r="T42" s="8" t="n">
        <x:v>0</x:v>
      </x:c>
      <x:c r="U42" s="8" t="n">
        <x:v>0</x:v>
      </x:c>
      <x:c r="V42" s="7" t="str">
        <x:v>unsupported_query</x:v>
      </x:c>
    </x:row>
    <x:row r="43" ht="88" customHeight="1">
      <x:c r="A43" s="7" t="str">
        <x:v>mh4-finance-en-19</x:v>
      </x:c>
      <x:c r="B43" s="7" t="str">
        <x:v>finance</x:v>
      </x:c>
      <x:c r="C43" s="7" t="str">
        <x:v>Lunch was 44 yuan today. Maybe Alipay, maybe WeChat; leave the account for me to check.</x:v>
      </x:c>
      <x:c r="D43" s="7" t="str">
        <x:v>draft</x:v>
      </x:c>
      <x:c r="E43" s="7" t="str">
        <x:v>finance</x:v>
      </x:c>
      <x:c r="F43" s="7" t="str">
        <x:v>draft</x:v>
      </x:c>
      <x:c r="G43" s="7" t="str">
        <x:v>finance</x:v>
      </x:c>
      <x:c r="H43" s="8" t="n">
        <x:v>1</x:v>
      </x:c>
      <x:c r="I43" s="8" t="n">
        <x:v>5</x:v>
      </x:c>
      <x:c r="J43" s="8" t="n">
        <x:v>6</x:v>
      </x:c>
      <x:c r="K43" s="8" t="n">
        <x:v>0</x:v>
      </x:c>
      <x:c r="L43" s="8" t="n">
        <x:v>1</x:v>
      </x:c>
      <x:c r="M43" s="8" t="n">
        <x:v>0</x:v>
      </x:c>
      <x:c r="N43" s="7" t="str">
        <x:v>kind</x:v>
      </x:c>
      <x:c r="O43" s="7" t="str">
        <x:v>{"status":"draft","module":"finance","title":{"containsAny":["lunch"]},"amount":"44","kind":"expense","category":"Food &amp; Drinks","account":null,"date":"2026-10-06"}</x:v>
      </x:c>
      <x:c r="P43" s="7" t="str">
        <x:v>{"status":"draft","reason":null,"module":"finance","draft":null,"fields":{"id":"7851151f-dc7a-48de-b9f8-247e71f60407","title":"Lunch","notes":"44 yuan","date":"2026-10-06","time":null,"amount":"44","kind":null,"category":"Food &amp; Drinks","account":null,"timezone":"America/Los_Angeles"}}</x:v>
      </x:c>
      <x:c r="Q43" s="7" t="str">
        <x:v>{"intent":"single_task","module":"finance","title":"Lunch","notes":"44 yuan","date_text":"today","amount":"44","kind":"expense","category":"Food &amp; Drinks","account":"Alipay"}</x:v>
      </x:c>
      <x:c r="R43" s="8" t="n">
        <x:v>1</x:v>
      </x:c>
      <x:c r="S43" s="8" t="n">
        <x:v>1</x:v>
      </x:c>
      <x:c r="T43" s="8" t="n">
        <x:v>1</x:v>
      </x:c>
      <x:c r="U43" s="8" t="n">
        <x:v>1</x:v>
      </x:c>
      <x:c r="V43" s="7" t="str">
        <x:v>uncertain_account</x:v>
      </x:c>
    </x:row>
    <x:row r="44" ht="88" customHeight="1">
      <x:c r="A44" s="7" t="str">
        <x:v>mh4-finance-en-06</x:v>
      </x:c>
      <x:c r="B44" s="7" t="str">
        <x:v>finance</x:v>
      </x:c>
      <x:c r="C44" s="7" t="str">
        <x:v>Today a scholarship payment of 950 yuan reached my bank card.</x:v>
      </x:c>
      <x:c r="D44" s="7" t="str">
        <x:v>draft</x:v>
      </x:c>
      <x:c r="E44" s="7" t="str">
        <x:v>finance</x:v>
      </x:c>
      <x:c r="F44" s="7" t="str">
        <x:v>draft</x:v>
      </x:c>
      <x:c r="G44" s="7" t="str">
        <x:v>finance</x:v>
      </x:c>
      <x:c r="H44" s="8" t="n">
        <x:v>1</x:v>
      </x:c>
      <x:c r="I44" s="8" t="n">
        <x:v>5</x:v>
      </x:c>
      <x:c r="J44" s="8" t="n">
        <x:v>6</x:v>
      </x:c>
      <x:c r="K44" s="8" t="n">
        <x:v>0</x:v>
      </x:c>
      <x:c r="L44" s="8" t="n">
        <x:v>1</x:v>
      </x:c>
      <x:c r="M44" s="8" t="n">
        <x:v>0</x:v>
      </x:c>
      <x:c r="N44" s="7" t="str">
        <x:v>kind</x:v>
      </x:c>
      <x:c r="O44" s="7" t="str">
        <x:v>{"status":"draft","module":"finance","title":{"containsAny":["scholarship"]},"amount":"950","kind":"income","category":"Scholarship","account":"Bank Card","date":"2026-10-06"}</x:v>
      </x:c>
      <x:c r="P44" s="7" t="str">
        <x:v>{"status":"draft","reason":null,"module":"finance","draft":null,"fields":{"id":"8e0c803a-ceae-4ad7-9756-562dc9744f45","title":"Scholarship Payment","notes":"","date":"2026-10-06","time":null,"amount":"950","kind":null,"category":"Scholarship","account":"Bank Card","timezone":"America/Los_Angeles"}}</x:v>
      </x:c>
      <x:c r="Q44" s="7" t="str">
        <x:v>{"intent":"single_task","module":"finance","title":"Scholarship Payment","notes":"","date_text":"today","amount":"950","kind":"income","category":"Scholarship","account":"Bank Card"}</x:v>
      </x:c>
      <x:c r="R44" s="8" t="n">
        <x:v>1</x:v>
      </x:c>
      <x:c r="S44" s="8" t="n">
        <x:v>1</x:v>
      </x:c>
      <x:c r="T44" s="8" t="n">
        <x:v>1</x:v>
      </x:c>
      <x:c r="U44" s="8" t="n">
        <x:v>1</x:v>
      </x:c>
      <x:c r="V44" s="7" t="str">
        <x:v>complete</x:v>
      </x:c>
    </x:row>
    <x:row r="45" ht="88" customHeight="1">
      <x:c r="A45" s="7" t="str">
        <x:v>mh4-finance-en-27</x:v>
      </x:c>
      <x:c r="B45" s="7" t="str">
        <x:v>finance</x:v>
      </x:c>
      <x:c r="C45" s="7" t="str">
        <x:v>Show the total amount I spent on shopping last month.</x:v>
      </x:c>
      <x:c r="D45" s="7" t="str">
        <x:v>clarification</x:v>
      </x:c>
      <x:c r="E45" s="7" t="str"/>
      <x:c r="F45" s="7" t="str">
        <x:v>clarification</x:v>
      </x:c>
      <x:c r="G45" s="7" t="str"/>
      <x:c r="H45" s="8" t="n">
        <x:v>1</x:v>
      </x:c>
      <x:c r="I45" s="8" t="n">
        <x:v>0</x:v>
      </x:c>
      <x:c r="J45" s="8" t="n">
        <x:v>0</x:v>
      </x:c>
      <x:c r="K45" s="8" t="n">
        <x:v>1</x:v>
      </x:c>
      <x:c r="L45" s="8" t="n">
        <x:v>0</x:v>
      </x:c>
      <x:c r="M45" s="8" t="n">
        <x:v>0</x:v>
      </x:c>
      <x:c r="N45" s="7" t="str"/>
      <x:c r="O45" s="7" t="str">
        <x:v>{"status":"clarification","module":null}</x:v>
      </x:c>
      <x:c r="P45" s="7" t="str">
        <x:v>{"status":"clarification","reason":"unsupported_action","module":null,"draft":null,"fields":null}</x:v>
      </x:c>
      <x:c r="Q45" s="7" t="str"/>
      <x:c r="R45" s="8" t="n">
        <x:v>0</x:v>
      </x:c>
      <x:c r="S45" s="8"/>
      <x:c r="T45" s="8" t="n">
        <x:v>0</x:v>
      </x:c>
      <x:c r="U45" s="8" t="n">
        <x:v>0</x:v>
      </x:c>
      <x:c r="V45" s="7" t="str">
        <x:v>unsupported_query</x:v>
      </x:c>
    </x:row>
    <x:row r="46" ht="90" customHeight="1">
      <x:c r="A46" s="7" t="str">
        <x:v>mh4-finance-en-07</x:v>
      </x:c>
      <x:c r="B46" s="7" t="str">
        <x:v>finance</x:v>
      </x:c>
      <x:c r="C46" s="7" t="str">
        <x:v>I received 180 yuan in cash today for my part-time job. Add income.</x:v>
      </x:c>
      <x:c r="D46" s="7" t="str">
        <x:v>draft</x:v>
      </x:c>
      <x:c r="E46" s="7" t="str">
        <x:v>finance</x:v>
      </x:c>
      <x:c r="F46" s="7" t="str">
        <x:v>draft</x:v>
      </x:c>
      <x:c r="G46" s="7" t="str">
        <x:v>finance</x:v>
      </x:c>
      <x:c r="H46" s="8" t="n">
        <x:v>1</x:v>
      </x:c>
      <x:c r="I46" s="8" t="n">
        <x:v>6</x:v>
      </x:c>
      <x:c r="J46" s="8" t="n">
        <x:v>6</x:v>
      </x:c>
      <x:c r="K46" s="8" t="n">
        <x:v>1</x:v>
      </x:c>
      <x:c r="L46" s="8" t="n">
        <x:v>1</x:v>
      </x:c>
      <x:c r="M46" s="8" t="n">
        <x:v>1</x:v>
      </x:c>
      <x:c r="N46" s="7" t="str"/>
      <x:c r="O46" s="7" t="str">
        <x:v>{"status":"draft","module":"finance","title":{"containsAny":["part-time","job"]},"amount":"180","kind":"income","category":"Part-time Job","account":"Cash","date":"2026-10-06"}</x:v>
      </x:c>
      <x:c r="P46" s="7" t="str">
        <x:v>{"status":"draft","reason":null,"module":"finance","draft":null,"fields":{"id":"3cf280aa-8bec-416c-97c5-a54eb3eec505","title":"I received 180 yuan in cash today for my part-time job. Add income.","notes":"","date":"2026-10-06","time":null,"amount":"180","kind":"income","category":"Part-time Job","account":"Cash","timezone":"America/Los_Angeles"}}</x:v>
      </x:c>
      <x:c r="Q46" s="7" t="str">
        <x:v>{"intent":"single_task","module":"finance","title":"Income","notes":"","date_text":"today","amount":"180","kind":"income","category":"Part-time Job","account":"Cash"}</x:v>
      </x:c>
      <x:c r="R46" s="8" t="n">
        <x:v>1</x:v>
      </x:c>
      <x:c r="S46" s="8" t="n">
        <x:v>1</x:v>
      </x:c>
      <x:c r="T46" s="8" t="n">
        <x:v>1</x:v>
      </x:c>
      <x:c r="U46" s="8" t="n">
        <x:v>1</x:v>
      </x:c>
      <x:c r="V46" s="7" t="str">
        <x:v>complete</x:v>
      </x:c>
    </x:row>
    <x:row r="47" ht="88" customHeight="1">
      <x:c r="A47" s="7" t="str">
        <x:v>mh4-schedule-en-09</x:v>
      </x:c>
      <x:c r="B47" s="7" t="str">
        <x:v>schedule</x:v>
      </x:c>
      <x:c r="C47" s="7" t="str">
        <x:v>A moving-in handover needs a calendar draft; we will choose a day later.</x:v>
      </x:c>
      <x:c r="D47" s="7" t="str">
        <x:v>draft</x:v>
      </x:c>
      <x:c r="E47" s="7" t="str">
        <x:v>schedule</x:v>
      </x:c>
      <x:c r="F47" s="7" t="str">
        <x:v>draft</x:v>
      </x:c>
      <x:c r="G47" s="7" t="str">
        <x:v>schedule</x:v>
      </x:c>
      <x:c r="H47" s="8" t="n">
        <x:v>1</x:v>
      </x:c>
      <x:c r="I47" s="8" t="n">
        <x:v>2</x:v>
      </x:c>
      <x:c r="J47" s="8" t="n">
        <x:v>2</x:v>
      </x:c>
      <x:c r="K47" s="8" t="n">
        <x:v>1</x:v>
      </x:c>
      <x:c r="L47" s="8" t="n">
        <x:v>1</x:v>
      </x:c>
      <x:c r="M47" s="8" t="n">
        <x:v>1</x:v>
      </x:c>
      <x:c r="N47" s="7" t="str"/>
      <x:c r="O47" s="7" t="str">
        <x:v>{"status":"draft","module":"schedule","title":{"containsAny":["handover","moving"]},"date":null,"time":null}</x:v>
      </x:c>
      <x:c r="P47" s="7" t="str">
        <x:v>{"status":"draft","reason":null,"module":"schedule","draft":null,"fields":{"id":"2ea9adfb-0ac0-4934-8d4f-50cfd27cf990","title":"Moving-in Handover","notes":"calendar draft","date":null,"time":null,"amount":null,"kind":null,"category":null,"account":null,"timezone":"America/Los_Angeles"}}</x:v>
      </x:c>
      <x:c r="Q47" s="7" t="str">
        <x:v>{"intent":"single_task","module":"schedule","title":"Moving-in Handover","notes":"calendar draft","date_text":"later","time_text":"null"}</x:v>
      </x:c>
      <x:c r="R47" s="8" t="n">
        <x:v>1</x:v>
      </x:c>
      <x:c r="S47" s="8" t="n">
        <x:v>1</x:v>
      </x:c>
      <x:c r="T47" s="8" t="n">
        <x:v>1</x:v>
      </x:c>
      <x:c r="U47" s="8" t="n">
        <x:v>1</x:v>
      </x:c>
      <x:c r="V47" s="7" t="str">
        <x:v>vague_date</x:v>
      </x:c>
    </x:row>
    <x:row r="48" ht="88" customHeight="1">
      <x:c r="A48" s="7" t="str">
        <x:v>mh4-memo-en-27</x:v>
      </x:c>
      <x:c r="B48" s="7" t="str">
        <x:v>memo</x:v>
      </x:c>
      <x:c r="C48" s="7" t="str">
        <x:v>Make a task to mend my backpack, then add an expense of 8 yuan for thread today.</x:v>
      </x:c>
      <x:c r="D48" s="7" t="str">
        <x:v>clarification</x:v>
      </x:c>
      <x:c r="E48" s="7" t="str"/>
      <x:c r="F48" s="7" t="str">
        <x:v>draft</x:v>
      </x:c>
      <x:c r="G48" s="7" t="str">
        <x:v>memo</x:v>
      </x:c>
      <x:c r="H48" s="8" t="n">
        <x:v>0</x:v>
      </x:c>
      <x:c r="I48" s="8" t="n">
        <x:v>0</x:v>
      </x:c>
      <x:c r="J48" s="8" t="n">
        <x:v>0</x:v>
      </x:c>
      <x:c r="K48" s="8" t="n">
        <x:v>0</x:v>
      </x:c>
      <x:c r="L48" s="8" t="n">
        <x:v>0</x:v>
      </x:c>
      <x:c r="M48" s="8" t="n">
        <x:v>0</x:v>
      </x:c>
      <x:c r="N48" s="7" t="str">
        <x:v>status, module</x:v>
      </x:c>
      <x:c r="O48" s="7" t="str">
        <x:v>{"status":"clarification","module":null}</x:v>
      </x:c>
      <x:c r="P48" s="7" t="str">
        <x:v>{"status":"draft","reason":null,"draft":{"id":"e559eeea-cb51-4d90-baa7-b7f982fd55c1","title":"Mend Backpack","notes":"","dueDate":"2026-10-06","timezone":"America/Los_Angeles","priority":null,"dateText":"today","warnings":["priority_missing"]},"module":"memo","fields":null}</x:v>
      </x:c>
      <x:c r="Q48" s="7" t="str">
        <x:v>{"intent":"single_task","module":"memo","title":"Mend Backpack","notes":"","date_text":"today","priority":"normal"}</x:v>
      </x:c>
      <x:c r="R48" s="8" t="n">
        <x:v>1</x:v>
      </x:c>
      <x:c r="S48" s="8" t="n">
        <x:v>0</x:v>
      </x:c>
      <x:c r="T48" s="8" t="n">
        <x:v>0</x:v>
      </x:c>
      <x:c r="U48" s="8" t="n">
        <x:v>0</x:v>
      </x:c>
      <x:c r="V48" s="7" t="str">
        <x:v>multiple_actions</x:v>
      </x:c>
    </x:row>
    <x:row r="49" ht="88" customHeight="1">
      <x:c r="A49" s="7" t="str">
        <x:v>mh4-schedule-en-02</x:v>
      </x:c>
      <x:c r="B49" s="7" t="str">
        <x:v>schedule</x:v>
      </x:c>
      <x:c r="C49" s="7" t="str">
        <x:v>This Thursday at 7:30pm I have a ceramics workshop. Add an event.</x:v>
      </x:c>
      <x:c r="D49" s="7" t="str">
        <x:v>draft</x:v>
      </x:c>
      <x:c r="E49" s="7" t="str">
        <x:v>schedule</x:v>
      </x:c>
      <x:c r="F49" s="7" t="str">
        <x:v>draft</x:v>
      </x:c>
      <x:c r="G49" s="7" t="str">
        <x:v>schedule</x:v>
      </x:c>
      <x:c r="H49" s="8" t="n">
        <x:v>1</x:v>
      </x:c>
      <x:c r="I49" s="8" t="n">
        <x:v>2</x:v>
      </x:c>
      <x:c r="J49" s="8" t="n">
        <x:v>2</x:v>
      </x:c>
      <x:c r="K49" s="8" t="n">
        <x:v>1</x:v>
      </x:c>
      <x:c r="L49" s="8" t="n">
        <x:v>1</x:v>
      </x:c>
      <x:c r="M49" s="8" t="n">
        <x:v>1</x:v>
      </x:c>
      <x:c r="N49" s="7" t="str"/>
      <x:c r="O49" s="7" t="str">
        <x:v>{"status":"draft","module":"schedule","title":{"containsAny":["ceramic"]},"date":"2026-10-08","time":"19:30"}</x:v>
      </x:c>
      <x:c r="P49" s="7" t="str">
        <x:v>{"status":"draft","reason":null,"module":"schedule","draft":null,"fields":{"id":"cad59f41-01e6-4240-8395-e4ed6417b779","title":"Ceramics Workshop","notes":"","date":"2026-10-08","time":"19:30","amount":null,"kind":null,"category":null,"account":null,"timezone":"America/Los_Angeles"}}</x:v>
      </x:c>
      <x:c r="Q49" s="7" t="str">
        <x:v>{"intent":"single_task","module":"schedule","title":"Ceramics Workshop","notes":"","date_text":"this Thursday","time_text":"7:30pm"}</x:v>
      </x:c>
      <x:c r="R49" s="8" t="n">
        <x:v>1</x:v>
      </x:c>
      <x:c r="S49" s="8" t="n">
        <x:v>1</x:v>
      </x:c>
      <x:c r="T49" s="8" t="n">
        <x:v>1</x:v>
      </x:c>
      <x:c r="U49" s="8" t="n">
        <x:v>1</x:v>
      </x:c>
      <x:c r="V49" s="7" t="str">
        <x:v>calendar_week</x:v>
      </x:c>
    </x:row>
    <x:row r="50" ht="90" customHeight="1">
      <x:c r="A50" s="7" t="str">
        <x:v>mh4-finance-en-18</x:v>
      </x:c>
      <x:c r="B50" s="7" t="str">
        <x:v>finance</x:v>
      </x:c>
      <x:c r="C50" s="7" t="str">
        <x:v>Today I paid cash for a bus ride, either 6 or 8 yuan, need to check which.</x:v>
      </x:c>
      <x:c r="D50" s="7" t="str">
        <x:v>draft</x:v>
      </x:c>
      <x:c r="E50" s="7" t="str">
        <x:v>finance</x:v>
      </x:c>
      <x:c r="F50" s="7" t="str">
        <x:v>draft</x:v>
      </x:c>
      <x:c r="G50" s="7" t="str">
        <x:v>finance</x:v>
      </x:c>
      <x:c r="H50" s="8" t="n">
        <x:v>1</x:v>
      </x:c>
      <x:c r="I50" s="8" t="n">
        <x:v>6</x:v>
      </x:c>
      <x:c r="J50" s="8" t="n">
        <x:v>6</x:v>
      </x:c>
      <x:c r="K50" s="8" t="n">
        <x:v>1</x:v>
      </x:c>
      <x:c r="L50" s="8" t="n">
        <x:v>1</x:v>
      </x:c>
      <x:c r="M50" s="8" t="n">
        <x:v>1</x:v>
      </x:c>
      <x:c r="N50" s="7" t="str"/>
      <x:c r="O50" s="7" t="str">
        <x:v>{"status":"draft","module":"finance","title":{"containsAny":["bus"]},"amount":null,"kind":"expense","category":"Transport","account":"Cash","date":"2026-10-06"}</x:v>
      </x:c>
      <x:c r="P50" s="7" t="str">
        <x:v>{"status":"draft","reason":null,"module":"finance","draft":null,"fields":{"id":"1fdf1d50-89ae-456c-9698-a4acccf6a26a","title":"Bus Ride","notes":"either 6 or 8 yuan","date":"2026-10-06","time":null,"amount":null,"kind":"expense","category":"Transport","account":"Cash","timezone":"America/Los_Angeles"}}</x:v>
      </x:c>
      <x:c r="Q50" s="7" t="str">
        <x:v>{"intent":"single_task","module":"finance","title":"Bus Ride","notes":"either 6 or 8 yuan","date_text":"today","amount":"either 6 or 8","kind":"expense","category":"Transport","account":"Cash"}</x:v>
      </x:c>
      <x:c r="R50" s="8" t="n">
        <x:v>1</x:v>
      </x:c>
      <x:c r="S50" s="8" t="n">
        <x:v>1</x:v>
      </x:c>
      <x:c r="T50" s="8" t="n">
        <x:v>1</x:v>
      </x:c>
      <x:c r="U50" s="8" t="n">
        <x:v>1</x:v>
      </x:c>
      <x:c r="V50" s="7" t="str">
        <x:v>uncertain_amount</x:v>
      </x:c>
    </x:row>
    <x:row r="51" ht="88" customHeight="1">
      <x:c r="A51" s="7" t="str">
        <x:v>mh4-memo-en-08</x:v>
      </x:c>
      <x:c r="B51" s="7" t="str">
        <x:v>memo</x:v>
      </x:c>
      <x:c r="C51" s="7" t="str">
        <x:v>Add descaling the kettle as a normal-priority task without a due date.</x:v>
      </x:c>
      <x:c r="D51" s="7" t="str">
        <x:v>draft</x:v>
      </x:c>
      <x:c r="E51" s="7" t="str">
        <x:v>memo</x:v>
      </x:c>
      <x:c r="F51" s="7" t="str">
        <x:v>draft</x:v>
      </x:c>
      <x:c r="G51" s="7" t="str">
        <x:v>memo</x:v>
      </x:c>
      <x:c r="H51" s="8" t="n">
        <x:v>1</x:v>
      </x:c>
      <x:c r="I51" s="8" t="n">
        <x:v>1</x:v>
      </x:c>
      <x:c r="J51" s="8" t="n">
        <x:v>1</x:v>
      </x:c>
      <x:c r="K51" s="8" t="n">
        <x:v>1</x:v>
      </x:c>
      <x:c r="L51" s="8" t="n">
        <x:v>1</x:v>
      </x:c>
      <x:c r="M51" s="8" t="n">
        <x:v>1</x:v>
      </x:c>
      <x:c r="N51" s="7" t="str"/>
      <x:c r="O51" s="7" t="str">
        <x:v>{"status":"draft","module":"memo","title":{"containsAny":["kettle"]},"date":null,"priority":"normal"}</x:v>
      </x:c>
      <x:c r="P51" s="7" t="str">
        <x:v>{"status":"draft","reason":null,"draft":{"id":"0a43a441-5f7c-493a-a835-c4e81aaf38c6","title":"Add descaling the kettle","notes":"normal-priority","dueDate":null,"timezone":"America/Los_Angeles","priority":"normal","dateText":null,"warnings":["date_missing"]},"module":"memo","fields":null}</x:v>
      </x:c>
      <x:c r="Q51" s="7" t="str">
        <x:v>{"intent":"single_task","module":"memo","title":"Add descaling the kettle","notes":"normal-priority","priority":"normal"}</x:v>
      </x:c>
      <x:c r="R51" s="8" t="n">
        <x:v>1</x:v>
      </x:c>
      <x:c r="S51" s="8" t="n">
        <x:v>1</x:v>
      </x:c>
      <x:c r="T51" s="8" t="n">
        <x:v>1</x:v>
      </x:c>
      <x:c r="U51" s="8" t="n">
        <x:v>1</x:v>
      </x:c>
      <x:c r="V51" s="7" t="str">
        <x:v>explicit_missing</x:v>
      </x:c>
    </x:row>
    <x:row r="52" ht="90" customHeight="1">
      <x:c r="A52" s="7" t="str">
        <x:v>mh4-schedule-en-30</x:v>
      </x:c>
      <x:c r="B52" s="7" t="str">
        <x:v>schedule</x:v>
      </x:c>
      <x:c r="C52" s="7" t="str">
        <x:v>Send a calendar invitation to everyone attending the seminar.</x:v>
      </x:c>
      <x:c r="D52" s="7" t="str">
        <x:v>clarification</x:v>
      </x:c>
      <x:c r="E52" s="7" t="str"/>
      <x:c r="F52" s="7" t="str">
        <x:v>draft</x:v>
      </x:c>
      <x:c r="G52" s="7" t="str">
        <x:v>schedule</x:v>
      </x:c>
      <x:c r="H52" s="8" t="n">
        <x:v>0</x:v>
      </x:c>
      <x:c r="I52" s="8" t="n">
        <x:v>0</x:v>
      </x:c>
      <x:c r="J52" s="8" t="n">
        <x:v>0</x:v>
      </x:c>
      <x:c r="K52" s="8" t="n">
        <x:v>0</x:v>
      </x:c>
      <x:c r="L52" s="8" t="n">
        <x:v>0</x:v>
      </x:c>
      <x:c r="M52" s="8" t="n">
        <x:v>0</x:v>
      </x:c>
      <x:c r="N52" s="7" t="str">
        <x:v>status, module</x:v>
      </x:c>
      <x:c r="O52" s="7" t="str">
        <x:v>{"status":"clarification","module":null}</x:v>
      </x:c>
      <x:c r="P52" s="7" t="str">
        <x:v>{"status":"draft","reason":null,"module":"schedule","draft":null,"fields":{"id":"92d1595c-7395-468f-b73e-20fa270f8700","title":"Calendar Invitation","notes":"Everyone attending the seminar","date":null,"time":null,"amount":null,"kind":null,"category":null,"account":null,"timezone":"America/Los_Angeles"}}</x:v>
      </x:c>
      <x:c r="Q52" s="7" t="str">
        <x:v>{"intent":"single_task","module":"schedule","title":"Calendar Invitation","notes":"Everyone attending the seminar","date_text":"Seminar Date","time_text":"Seminar Time"}</x:v>
      </x:c>
      <x:c r="R52" s="8" t="n">
        <x:v>1</x:v>
      </x:c>
      <x:c r="S52" s="8" t="n">
        <x:v>0</x:v>
      </x:c>
      <x:c r="T52" s="8" t="n">
        <x:v>0</x:v>
      </x:c>
      <x:c r="U52" s="8" t="n">
        <x:v>0</x:v>
      </x:c>
      <x:c r="V52" s="7" t="str">
        <x:v>external_action</x:v>
      </x:c>
    </x:row>
    <x:row r="53" ht="88" customHeight="1">
      <x:c r="A53" s="7" t="str">
        <x:v>mh4-schedule-en-14</x:v>
      </x:c>
      <x:c r="B53" s="7" t="str">
        <x:v>schedule</x:v>
      </x:c>
      <x:c r="C53" s="7" t="str">
        <x:v>I have a Portugese, sorry Portuguese, class this Wednesday at 6pm.</x:v>
      </x:c>
      <x:c r="D53" s="7" t="str">
        <x:v>draft</x:v>
      </x:c>
      <x:c r="E53" s="7" t="str">
        <x:v>schedule</x:v>
      </x:c>
      <x:c r="F53" s="7" t="str">
        <x:v>draft</x:v>
      </x:c>
      <x:c r="G53" s="7" t="str">
        <x:v>schedule</x:v>
      </x:c>
      <x:c r="H53" s="8" t="n">
        <x:v>1</x:v>
      </x:c>
      <x:c r="I53" s="8" t="n">
        <x:v>1</x:v>
      </x:c>
      <x:c r="J53" s="8" t="n">
        <x:v>2</x:v>
      </x:c>
      <x:c r="K53" s="8" t="n">
        <x:v>0</x:v>
      </x:c>
      <x:c r="L53" s="8" t="n">
        <x:v>1</x:v>
      </x:c>
      <x:c r="M53" s="8" t="n">
        <x:v>0</x:v>
      </x:c>
      <x:c r="N53" s="7" t="str">
        <x:v>title</x:v>
      </x:c>
      <x:c r="O53" s="7" t="str">
        <x:v>{"status":"draft","module":"schedule","title":{"containsAny":["Portuguese","Portugese"]},"date":"2026-10-07","time":"18:00"}</x:v>
      </x:c>
      <x:c r="P53" s="7" t="str">
        <x:v>{"status":"draft","reason":null,"module":"schedule","draft":null,"fields":{"id":"94723475-e3df-4932-bda2-0fe2abdf1bf5","title":"Class","notes":"","date":"2026-10-07","time":"18:00","amount":null,"kind":null,"category":null,"account":null,"timezone":"America/Los_Angeles"}}</x:v>
      </x:c>
      <x:c r="Q53" s="7" t="str">
        <x:v>{"intent":"single_task","module":"schedule","title":"Class","notes":"","date_text":"this Wednesday","time_text":"6pm"}</x:v>
      </x:c>
      <x:c r="R53" s="8" t="n">
        <x:v>1</x:v>
      </x:c>
      <x:c r="S53" s="8" t="n">
        <x:v>1</x:v>
      </x:c>
      <x:c r="T53" s="8" t="n">
        <x:v>1</x:v>
      </x:c>
      <x:c r="U53" s="8" t="n">
        <x:v>1</x:v>
      </x:c>
      <x:c r="V53" s="7" t="str">
        <x:v>typo</x:v>
      </x:c>
    </x:row>
    <x:row r="54" ht="90" customHeight="1">
      <x:c r="A54" s="7" t="str">
        <x:v>mh4-finance-en-13</x:v>
      </x:c>
      <x:c r="B54" s="7" t="str">
        <x:v>finance</x:v>
      </x:c>
      <x:c r="C54" s="7" t="str">
        <x:v>Record 60 yuan spent in cash today. I do not recall what it was for, leave category empty.</x:v>
      </x:c>
      <x:c r="D54" s="7" t="str">
        <x:v>draft</x:v>
      </x:c>
      <x:c r="E54" s="7" t="str">
        <x:v>finance</x:v>
      </x:c>
      <x:c r="F54" s="7" t="str">
        <x:v>draft</x:v>
      </x:c>
      <x:c r="G54" s="7" t="str">
        <x:v>finance</x:v>
      </x:c>
      <x:c r="H54" s="8" t="n">
        <x:v>1</x:v>
      </x:c>
      <x:c r="I54" s="8" t="n">
        <x:v>4</x:v>
      </x:c>
      <x:c r="J54" s="8" t="n">
        <x:v>6</x:v>
      </x:c>
      <x:c r="K54" s="8" t="n">
        <x:v>0</x:v>
      </x:c>
      <x:c r="L54" s="8" t="n">
        <x:v>1</x:v>
      </x:c>
      <x:c r="M54" s="8" t="n">
        <x:v>0</x:v>
      </x:c>
      <x:c r="N54" s="7" t="str">
        <x:v>kind, category</x:v>
      </x:c>
      <x:c r="O54" s="7" t="str">
        <x:v>{"status":"draft","module":"finance","title":{"containsAny":["expense","spen","cash","60"]},"amount":"60","kind":"expense","category":null,"account":"Cash","date":"2026-10-06"}</x:v>
      </x:c>
      <x:c r="P54" s="7" t="str">
        <x:v>{"status":"draft","reason":null,"module":"finance","draft":null,"fields":{"id":"3cd3fd1c-55d5-4fd0-ac92-31fbae453a75","title":"60 yuan spent in cash today. I do not recall what it was for, leave category empty.","notes":"","date":"2026-10-06","time":null,"amount":"60","kind":null,"category":"Others","account":"Cash","timezone":"America/Los_Angeles"}}</x:v>
      </x:c>
      <x:c r="Q54" s="7" t="str">
        <x:v>{"intent":"single_task","module":"finance","title":"Expense","notes":"","date_text":"today","amount":"60","kind":"expense","category":"Others","account":"Cash"}</x:v>
      </x:c>
      <x:c r="R54" s="8" t="n">
        <x:v>1</x:v>
      </x:c>
      <x:c r="S54" s="8" t="n">
        <x:v>1</x:v>
      </x:c>
      <x:c r="T54" s="8" t="n">
        <x:v>1</x:v>
      </x:c>
      <x:c r="U54" s="8" t="n">
        <x:v>1</x:v>
      </x:c>
      <x:c r="V54" s="7" t="str">
        <x:v>missing_category</x:v>
      </x:c>
    </x:row>
    <x:row r="55" ht="90" customHeight="1">
      <x:c r="A55" s="7" t="str">
        <x:v>mh4-memo-en-23</x:v>
      </x:c>
      <x:c r="B55" s="7" t="str">
        <x:v>memo</x:v>
      </x:c>
      <x:c r="C55" s="7" t="str">
        <x:v>Thursday at 11am: violin lesson. Keep this as a memo in my chosen module.</x:v>
      </x:c>
      <x:c r="D55" s="7" t="str">
        <x:v>draft</x:v>
      </x:c>
      <x:c r="E55" s="7" t="str">
        <x:v>memo</x:v>
      </x:c>
      <x:c r="F55" s="7" t="str">
        <x:v>draft</x:v>
      </x:c>
      <x:c r="G55" s="7" t="str">
        <x:v>memo</x:v>
      </x:c>
      <x:c r="H55" s="8" t="n">
        <x:v>1</x:v>
      </x:c>
      <x:c r="I55" s="8" t="n">
        <x:v>1</x:v>
      </x:c>
      <x:c r="J55" s="8" t="n">
        <x:v>1</x:v>
      </x:c>
      <x:c r="K55" s="8" t="n">
        <x:v>0</x:v>
      </x:c>
      <x:c r="L55" s="8" t="n">
        <x:v>1</x:v>
      </x:c>
      <x:c r="M55" s="8" t="n">
        <x:v>0</x:v>
      </x:c>
      <x:c r="N55" s="7" t="str">
        <x:v>date</x:v>
      </x:c>
      <x:c r="O55" s="7" t="str">
        <x:v>{"status":"draft","module":"memo","title":{"containsAny":["violin"]},"date":"2026-10-08","priority":null}</x:v>
      </x:c>
      <x:c r="P55" s="7" t="str">
        <x:v>{"status":"draft","reason":null,"draft":{"id":"451e6e69-7eb5-4aba-a5b8-5602d6c709a5","title":"Violin Lesson","notes":"Thursday at 11am","dueDate":null,"timezone":"America/Los_Angeles","priority":null,"dateText":"Thursday","warnings":["date_needs_review","priority_missing"]},"module":"memo","fields":null}</x:v>
      </x:c>
      <x:c r="Q55" s="7" t="str">
        <x:v>{"intent":"single_task","module":"memo","title":"Violin Lesson","notes":"Thursday at 11am","date_text":"Thursday","time_text":"11am"}</x:v>
      </x:c>
      <x:c r="R55" s="8" t="n">
        <x:v>1</x:v>
      </x:c>
      <x:c r="S55" s="8" t="n">
        <x:v>1</x:v>
      </x:c>
      <x:c r="T55" s="8" t="n">
        <x:v>1</x:v>
      </x:c>
      <x:c r="U55" s="8" t="n">
        <x:v>0</x:v>
      </x:c>
      <x:c r="V55" s="7" t="str">
        <x:v>module_override</x:v>
      </x:c>
    </x:row>
    <x:row r="56" ht="88" customHeight="1">
      <x:c r="A56" s="7" t="str">
        <x:v>mh4-schedule-en-25</x:v>
      </x:c>
      <x:c r="B56" s="7" t="str">
        <x:v>schedule</x:v>
      </x:c>
      <x:c r="C56" s="7" t="str">
        <x:v>Cancel the family brunch event already on my calendar.</x:v>
      </x:c>
      <x:c r="D56" s="7" t="str">
        <x:v>clarification</x:v>
      </x:c>
      <x:c r="E56" s="7" t="str"/>
      <x:c r="F56" s="7" t="str">
        <x:v>clarification</x:v>
      </x:c>
      <x:c r="G56" s="7" t="str"/>
      <x:c r="H56" s="8" t="n">
        <x:v>1</x:v>
      </x:c>
      <x:c r="I56" s="8" t="n">
        <x:v>0</x:v>
      </x:c>
      <x:c r="J56" s="8" t="n">
        <x:v>0</x:v>
      </x:c>
      <x:c r="K56" s="8" t="n">
        <x:v>1</x:v>
      </x:c>
      <x:c r="L56" s="8" t="n">
        <x:v>0</x:v>
      </x:c>
      <x:c r="M56" s="8" t="n">
        <x:v>0</x:v>
      </x:c>
      <x:c r="N56" s="7" t="str"/>
      <x:c r="O56" s="7" t="str">
        <x:v>{"status":"clarification","module":null}</x:v>
      </x:c>
      <x:c r="P56" s="7" t="str">
        <x:v>{"status":"clarification","reason":"unsupported_action","module":null,"draft":null,"fields":null}</x:v>
      </x:c>
      <x:c r="Q56" s="7" t="str"/>
      <x:c r="R56" s="8" t="n">
        <x:v>0</x:v>
      </x:c>
      <x:c r="S56" s="8"/>
      <x:c r="T56" s="8" t="n">
        <x:v>0</x:v>
      </x:c>
      <x:c r="U56" s="8" t="n">
        <x:v>0</x:v>
      </x:c>
      <x:c r="V56" s="7" t="str">
        <x:v>mutation</x:v>
      </x:c>
    </x:row>
    <x:row r="57" ht="88" customHeight="1">
      <x:c r="A57" s="7" t="str">
        <x:v>mh4-health-en-08</x:v>
      </x:c>
      <x:c r="B57" s="7" t="str">
        <x:v>health</x:v>
      </x:c>
      <x:c r="C57" s="7" t="str">
        <x:v>Show screen tiem today, typo, screen time.</x:v>
      </x:c>
      <x:c r="D57" s="7" t="str">
        <x:v>draft</x:v>
      </x:c>
      <x:c r="E57" s="7" t="str">
        <x:v>health</x:v>
      </x:c>
      <x:c r="F57" s="7" t="str">
        <x:v>draft</x:v>
      </x:c>
      <x:c r="G57" s="7" t="str">
        <x:v>health</x:v>
      </x:c>
      <x:c r="H57" s="8" t="n">
        <x:v>1</x:v>
      </x:c>
      <x:c r="I57" s="8" t="n">
        <x:v>0</x:v>
      </x:c>
      <x:c r="J57" s="8" t="n">
        <x:v>0</x:v>
      </x:c>
      <x:c r="K57" s="8" t="n">
        <x:v>1</x:v>
      </x:c>
      <x:c r="L57" s="8" t="n">
        <x:v>1</x:v>
      </x:c>
      <x:c r="M57" s="8" t="n">
        <x:v>1</x:v>
      </x:c>
      <x:c r="N57" s="7" t="str"/>
      <x:c r="O57" s="7" t="str">
        <x:v>{"status":"draft","module":"health"}</x:v>
      </x:c>
      <x:c r="P57" s="7" t="str">
        <x:v>{"status":"draft","reason":null,"module":"health","draft":null,"fields":{"id":"f66e4656-775c-4e7f-83fe-2226d100dfc3","title":"View phone usage","notes":"","date":"2026-10-06","time":null,"amount":null,"kind":null,"category":null,"account":null,"timezone":"America/Los_Angeles"}}</x:v>
      </x:c>
      <x:c r="Q57" s="7" t="str">
        <x:v>{"intent":"single_task","module":"health","title":"查看手机使用时长","notes":""}</x:v>
      </x:c>
      <x:c r="R57" s="8" t="n">
        <x:v>1</x:v>
      </x:c>
      <x:c r="S57" s="8" t="n">
        <x:v>1</x:v>
      </x:c>
      <x:c r="T57" s="8" t="n">
        <x:v>0</x:v>
      </x:c>
      <x:c r="U57" s="8" t="n">
        <x:v>0</x:v>
      </x:c>
      <x:c r="V57" s="7" t="str">
        <x:v>typo</x:v>
      </x:c>
    </x:row>
    <x:row r="58" ht="88" customHeight="1">
      <x:c r="A58" s="7" t="str">
        <x:v>mh4-schedule-en-04</x:v>
      </x:c>
      <x:c r="B58" s="7" t="str">
        <x:v>schedule</x:v>
      </x:c>
      <x:c r="C58" s="7" t="str">
        <x:v>Make an event for the house inspection today at noon.</x:v>
      </x:c>
      <x:c r="D58" s="7" t="str">
        <x:v>draft</x:v>
      </x:c>
      <x:c r="E58" s="7" t="str">
        <x:v>schedule</x:v>
      </x:c>
      <x:c r="F58" s="7" t="str">
        <x:v>draft</x:v>
      </x:c>
      <x:c r="G58" s="7" t="str">
        <x:v>schedule</x:v>
      </x:c>
      <x:c r="H58" s="8" t="n">
        <x:v>1</x:v>
      </x:c>
      <x:c r="I58" s="8" t="n">
        <x:v>2</x:v>
      </x:c>
      <x:c r="J58" s="8" t="n">
        <x:v>2</x:v>
      </x:c>
      <x:c r="K58" s="8" t="n">
        <x:v>0</x:v>
      </x:c>
      <x:c r="L58" s="8" t="n">
        <x:v>1</x:v>
      </x:c>
      <x:c r="M58" s="8" t="n">
        <x:v>0</x:v>
      </x:c>
      <x:c r="N58" s="7" t="str">
        <x:v>time</x:v>
      </x:c>
      <x:c r="O58" s="7" t="str">
        <x:v>{"status":"draft","module":"schedule","title":{"containsAny":["inspection"]},"date":"2026-10-06","time":"12:00"}</x:v>
      </x:c>
      <x:c r="P58" s="7" t="str">
        <x:v>{"status":"draft","reason":null,"module":"schedule","draft":null,"fields":{"id":"f8369b2c-094c-4b10-a138-3f3480c28218","title":"House Inspection","notes":"","date":"2026-10-06","time":null,"amount":null,"kind":null,"category":null,"account":null,"timezone":"America/Los_Angeles"}}</x:v>
      </x:c>
      <x:c r="Q58" s="7" t="str">
        <x:v>{"intent":"single_task","module":"schedule","title":"House Inspection","notes":"","date_text":"today","time_text":"12:00"}</x:v>
      </x:c>
      <x:c r="R58" s="8" t="n">
        <x:v>1</x:v>
      </x:c>
      <x:c r="S58" s="8" t="n">
        <x:v>1</x:v>
      </x:c>
      <x:c r="T58" s="8" t="n">
        <x:v>1</x:v>
      </x:c>
      <x:c r="U58" s="8" t="n">
        <x:v>1</x:v>
      </x:c>
      <x:c r="V58" s="7" t="str">
        <x:v>complete</x:v>
      </x:c>
    </x:row>
    <x:row r="59" ht="88" customHeight="1">
      <x:c r="A59" s="7" t="str">
        <x:v>mh4-memo-en-22</x:v>
      </x:c>
      <x:c r="B59" s="7" t="str">
        <x:v>memo</x:v>
      </x:c>
      <x:c r="C59" s="7" t="str">
        <x:v>Add oiling the squeaky hinge to the list. It is not urgent at all.</x:v>
      </x:c>
      <x:c r="D59" s="7" t="str">
        <x:v>draft</x:v>
      </x:c>
      <x:c r="E59" s="7" t="str">
        <x:v>memo</x:v>
      </x:c>
      <x:c r="F59" s="7" t="str">
        <x:v>draft</x:v>
      </x:c>
      <x:c r="G59" s="7" t="str">
        <x:v>schedule</x:v>
      </x:c>
      <x:c r="H59" s="8" t="n">
        <x:v>0</x:v>
      </x:c>
      <x:c r="I59" s="8" t="n">
        <x:v>1</x:v>
      </x:c>
      <x:c r="J59" s="8" t="n">
        <x:v>1</x:v>
      </x:c>
      <x:c r="K59" s="8" t="n">
        <x:v>0</x:v>
      </x:c>
      <x:c r="L59" s="8" t="n">
        <x:v>1</x:v>
      </x:c>
      <x:c r="M59" s="8" t="n">
        <x:v>0</x:v>
      </x:c>
      <x:c r="N59" s="7" t="str">
        <x:v>module, priority</x:v>
      </x:c>
      <x:c r="O59" s="7" t="str">
        <x:v>{"status":"draft","module":"memo","title":{"containsAny":["hinge"]},"date":null,"priority":"normal"}</x:v>
      </x:c>
      <x:c r="P59" s="7" t="str">
        <x:v>{"status":"draft","reason":null,"module":"schedule","draft":null,"fields":{"id":"b9c812c8-a1f3-427b-b667-53d4c5280592","title":"Oiling the squeaky hinge","notes":"not urgent","date":null,"time":null,"amount":null,"kind":null,"category":null,"account":null,"timezone":"America/Los_Angeles"}}</x:v>
      </x:c>
      <x:c r="Q59" s="7" t="str">
        <x:v>{"intent":"single_task","module":"schedule","title":"Oiling the squeaky hinge","notes":"not urgent","date_text":"null","time_text":"null"}</x:v>
      </x:c>
      <x:c r="R59" s="8" t="n">
        <x:v>1</x:v>
      </x:c>
      <x:c r="S59" s="8" t="n">
        <x:v>0</x:v>
      </x:c>
      <x:c r="T59" s="8" t="n">
        <x:v>1</x:v>
      </x:c>
      <x:c r="U59" s="8" t="n">
        <x:v>1</x:v>
      </x:c>
      <x:c r="V59" s="7" t="str">
        <x:v>negated_urgency</x:v>
      </x:c>
    </x:row>
    <x:row r="60" ht="88" customHeight="1">
      <x:c r="A60" s="7" t="str">
        <x:v>mh4-finance-en-11</x:v>
      </x:c>
      <x:c r="B60" s="7" t="str">
        <x:v>finance</x:v>
      </x:c>
      <x:c r="C60" s="7" t="str">
        <x:v>A taxi ride cost me 38 yuan in cash. I cannot recall the date.</x:v>
      </x:c>
      <x:c r="D60" s="7" t="str">
        <x:v>draft</x:v>
      </x:c>
      <x:c r="E60" s="7" t="str">
        <x:v>finance</x:v>
      </x:c>
      <x:c r="F60" s="7" t="str">
        <x:v>draft</x:v>
      </x:c>
      <x:c r="G60" s="7" t="str">
        <x:v>finance</x:v>
      </x:c>
      <x:c r="H60" s="8" t="n">
        <x:v>1</x:v>
      </x:c>
      <x:c r="I60" s="8" t="n">
        <x:v>6</x:v>
      </x:c>
      <x:c r="J60" s="8" t="n">
        <x:v>6</x:v>
      </x:c>
      <x:c r="K60" s="8" t="n">
        <x:v>1</x:v>
      </x:c>
      <x:c r="L60" s="8" t="n">
        <x:v>1</x:v>
      </x:c>
      <x:c r="M60" s="8" t="n">
        <x:v>1</x:v>
      </x:c>
      <x:c r="N60" s="7" t="str"/>
      <x:c r="O60" s="7" t="str">
        <x:v>{"status":"draft","module":"finance","title":{"containsAny":["taxi"]},"amount":"38","kind":"expense","category":"Transport","account":"Cash","date":null}</x:v>
      </x:c>
      <x:c r="P60" s="7" t="str">
        <x:v>{"status":"draft","reason":null,"module":"finance","draft":null,"fields":{"id":"0f3da153-d77d-4813-ad47-18359a247d96","title":"Taxi Ride","notes":"38 yuan","date":null,"time":null,"amount":"38","kind":"expense","category":"Transport","account":"Cash","timezone":"America/Los_Angeles"}}</x:v>
      </x:c>
      <x:c r="Q60" s="7" t="str">
        <x:v>{"intent":"single_task","module":"finance","title":"Taxi Ride","notes":"38 yuan","date_text":null,"amount":"38","kind":"expense","category":"Others","account":"Cash"}</x:v>
      </x:c>
      <x:c r="R60" s="8" t="n">
        <x:v>1</x:v>
      </x:c>
      <x:c r="S60" s="8" t="n">
        <x:v>1</x:v>
      </x:c>
      <x:c r="T60" s="8" t="n">
        <x:v>1</x:v>
      </x:c>
      <x:c r="U60" s="8" t="n">
        <x:v>1</x:v>
      </x:c>
      <x:c r="V60" s="7" t="str">
        <x:v>missing_date</x:v>
      </x:c>
    </x:row>
    <x:row r="61" ht="88" customHeight="1">
      <x:c r="A61" s="7" t="str">
        <x:v>mh4-health-en-09</x:v>
      </x:c>
      <x:c r="B61" s="7" t="str">
        <x:v>health</x:v>
      </x:c>
      <x:c r="C61" s="7" t="str">
        <x:v>Could I review my handset's current screen time figures 📵?</x:v>
      </x:c>
      <x:c r="D61" s="7" t="str">
        <x:v>draft</x:v>
      </x:c>
      <x:c r="E61" s="7" t="str">
        <x:v>health</x:v>
      </x:c>
      <x:c r="F61" s="7" t="str">
        <x:v>draft</x:v>
      </x:c>
      <x:c r="G61" s="7" t="str">
        <x:v>health</x:v>
      </x:c>
      <x:c r="H61" s="8" t="n">
        <x:v>1</x:v>
      </x:c>
      <x:c r="I61" s="8" t="n">
        <x:v>0</x:v>
      </x:c>
      <x:c r="J61" s="8" t="n">
        <x:v>0</x:v>
      </x:c>
      <x:c r="K61" s="8" t="n">
        <x:v>1</x:v>
      </x:c>
      <x:c r="L61" s="8" t="n">
        <x:v>1</x:v>
      </x:c>
      <x:c r="M61" s="8" t="n">
        <x:v>1</x:v>
      </x:c>
      <x:c r="N61" s="7" t="str"/>
      <x:c r="O61" s="7" t="str">
        <x:v>{"status":"draft","module":"health"}</x:v>
      </x:c>
      <x:c r="P61" s="7" t="str">
        <x:v>{"status":"draft","reason":null,"module":"health","draft":null,"fields":{"id":"edbcf743-1e61-4c3b-b92a-7b455fd1e48e","title":"View phone usage","notes":"","date":null,"time":null,"amount":null,"kind":null,"category":null,"account":null,"timezone":"America/Los_Angeles"}}</x:v>
      </x:c>
      <x:c r="Q61" s="7" t="str">
        <x:v>{"intent":"single_task","module":"health","title":"查看手机使用时长","notes":""}</x:v>
      </x:c>
      <x:c r="R61" s="8" t="n">
        <x:v>1</x:v>
      </x:c>
      <x:c r="S61" s="8" t="n">
        <x:v>1</x:v>
      </x:c>
      <x:c r="T61" s="8" t="n">
        <x:v>0</x:v>
      </x:c>
      <x:c r="U61" s="8" t="n">
        <x:v>0</x:v>
      </x:c>
      <x:c r="V61" s="7" t="str">
        <x:v>unicode</x:v>
      </x:c>
    </x:row>
    <x:row r="62" ht="88" customHeight="1">
      <x:c r="A62" s="7" t="str">
        <x:v>mh4-finance-en-01</x:v>
      </x:c>
      <x:c r="B62" s="7" t="str">
        <x:v>finance</x:v>
      </x:c>
      <x:c r="C62" s="7" t="str">
        <x:v>Just grabbed noodles for 26.40 yuan today, paid via Alipay. Log it.</x:v>
      </x:c>
      <x:c r="D62" s="7" t="str">
        <x:v>draft</x:v>
      </x:c>
      <x:c r="E62" s="7" t="str">
        <x:v>finance</x:v>
      </x:c>
      <x:c r="F62" s="7" t="str">
        <x:v>draft</x:v>
      </x:c>
      <x:c r="G62" s="7" t="str">
        <x:v>finance</x:v>
      </x:c>
      <x:c r="H62" s="8" t="n">
        <x:v>1</x:v>
      </x:c>
      <x:c r="I62" s="8" t="n">
        <x:v>6</x:v>
      </x:c>
      <x:c r="J62" s="8" t="n">
        <x:v>6</x:v>
      </x:c>
      <x:c r="K62" s="8" t="n">
        <x:v>1</x:v>
      </x:c>
      <x:c r="L62" s="8" t="n">
        <x:v>1</x:v>
      </x:c>
      <x:c r="M62" s="8" t="n">
        <x:v>1</x:v>
      </x:c>
      <x:c r="N62" s="7" t="str"/>
      <x:c r="O62" s="7" t="str">
        <x:v>{"status":"draft","module":"finance","title":{"containsAny":["noodle"]},"amount":"26.40","kind":"expense","category":"Food &amp; Drinks","account":"Alipay","date":"2026-10-06"}</x:v>
      </x:c>
      <x:c r="P62" s="7" t="str">
        <x:v>{"status":"draft","reason":null,"module":"finance","draft":null,"fields":{"id":"1911dfd1-b921-465a-85e2-2ca8a5dad5f1","title":"Noodles","notes":"26.40","date":"2026-10-06","time":null,"amount":"26.40","kind":"expense","category":"Food &amp; Drinks","account":"Alipay","timezone":"America/Los_Angeles"}}</x:v>
      </x:c>
      <x:c r="Q62" s="7" t="str">
        <x:v>{"intent":"single_task","module":"finance","title":"Noodles","notes":"26.40","date_text":"today","amount":"26.40","kind":"expense","category":"Food &amp; Drinks","account":"Alipay"}</x:v>
      </x:c>
      <x:c r="R62" s="8" t="n">
        <x:v>1</x:v>
      </x:c>
      <x:c r="S62" s="8" t="n">
        <x:v>1</x:v>
      </x:c>
      <x:c r="T62" s="8" t="n">
        <x:v>1</x:v>
      </x:c>
      <x:c r="U62" s="8" t="n">
        <x:v>1</x:v>
      </x:c>
      <x:c r="V62" s="7" t="str">
        <x:v>colloquial</x:v>
      </x:c>
    </x:row>
    <x:row r="63" ht="88" customHeight="1">
      <x:c r="A63" s="7" t="str">
        <x:v>mh4-health-en-28</x:v>
      </x:c>
      <x:c r="B63" s="7" t="str">
        <x:v>health</x:v>
      </x:c>
      <x:c r="C63" s="7" t="str">
        <x:v>Diagnose why I have had a headache since yesterday.</x:v>
      </x:c>
      <x:c r="D63" s="7" t="str">
        <x:v>clarification</x:v>
      </x:c>
      <x:c r="E63" s="7" t="str"/>
      <x:c r="F63" s="7" t="str">
        <x:v>clarification</x:v>
      </x:c>
      <x:c r="G63" s="7" t="str"/>
      <x:c r="H63" s="8" t="n">
        <x:v>1</x:v>
      </x:c>
      <x:c r="I63" s="8" t="n">
        <x:v>0</x:v>
      </x:c>
      <x:c r="J63" s="8" t="n">
        <x:v>0</x:v>
      </x:c>
      <x:c r="K63" s="8" t="n">
        <x:v>1</x:v>
      </x:c>
      <x:c r="L63" s="8" t="n">
        <x:v>0</x:v>
      </x:c>
      <x:c r="M63" s="8" t="n">
        <x:v>0</x:v>
      </x:c>
      <x:c r="N63" s="7" t="str"/>
      <x:c r="O63" s="7" t="str">
        <x:v>{"status":"clarification","module":null}</x:v>
      </x:c>
      <x:c r="P63" s="7" t="str">
        <x:v>{"status":"clarification","reason":"health_unsupported","module":null,"draft":null,"fields":null}</x:v>
      </x:c>
      <x:c r="Q63" s="7" t="str">
        <x:v>{"intent":"single_task","module":"health","title":"Diagnose headache","notes":""}</x:v>
      </x:c>
      <x:c r="R63" s="8" t="n">
        <x:v>1</x:v>
      </x:c>
      <x:c r="S63" s="8" t="n">
        <x:v>0</x:v>
      </x:c>
      <x:c r="T63" s="8" t="n">
        <x:v>0</x:v>
      </x:c>
      <x:c r="U63" s="8" t="n">
        <x:v>0</x:v>
      </x:c>
      <x:c r="V63" s="7" t="str">
        <x:v>unsupported_advice</x:v>
      </x:c>
    </x:row>
    <x:row r="64" ht="88" customHeight="1">
      <x:c r="A64" s="7" t="str">
        <x:v>mh4-schedule-en-08</x:v>
      </x:c>
      <x:c r="B64" s="7" t="str">
        <x:v>schedule</x:v>
      </x:c>
      <x:c r="C64" s="7" t="str">
        <x:v>Create a piano tuning appointment at 2pm; no date has been agreed yet.</x:v>
      </x:c>
      <x:c r="D64" s="7" t="str">
        <x:v>draft</x:v>
      </x:c>
      <x:c r="E64" s="7" t="str">
        <x:v>schedule</x:v>
      </x:c>
      <x:c r="F64" s="7" t="str">
        <x:v>draft</x:v>
      </x:c>
      <x:c r="G64" s="7" t="str">
        <x:v>schedule</x:v>
      </x:c>
      <x:c r="H64" s="8" t="n">
        <x:v>1</x:v>
      </x:c>
      <x:c r="I64" s="8" t="n">
        <x:v>2</x:v>
      </x:c>
      <x:c r="J64" s="8" t="n">
        <x:v>2</x:v>
      </x:c>
      <x:c r="K64" s="8" t="n">
        <x:v>1</x:v>
      </x:c>
      <x:c r="L64" s="8" t="n">
        <x:v>1</x:v>
      </x:c>
      <x:c r="M64" s="8" t="n">
        <x:v>1</x:v>
      </x:c>
      <x:c r="N64" s="7" t="str"/>
      <x:c r="O64" s="7" t="str">
        <x:v>{"status":"draft","module":"schedule","title":{"containsAny":["piano","tuning"]},"date":null,"time":"14:00"}</x:v>
      </x:c>
      <x:c r="P64" s="7" t="str">
        <x:v>{"status":"draft","reason":null,"module":"schedule","draft":null,"fields":{"id":"4acb236d-e92d-4064-8cf0-90916458db75","title":"Piano Tuning Appointment","notes":"","date":null,"time":"14:00","amount":null,"kind":null,"category":null,"account":null,"timezone":"America/Los_Angeles"}}</x:v>
      </x:c>
      <x:c r="Q64" s="7" t="str">
        <x:v>{"intent":"single_task","module":"schedule","title":"Piano Tuning Appointment","notes":"","date_text":"no date","time_text":"2pm"}</x:v>
      </x:c>
      <x:c r="R64" s="8" t="n">
        <x:v>1</x:v>
      </x:c>
      <x:c r="S64" s="8" t="n">
        <x:v>1</x:v>
      </x:c>
      <x:c r="T64" s="8" t="n">
        <x:v>1</x:v>
      </x:c>
      <x:c r="U64" s="8" t="n">
        <x:v>1</x:v>
      </x:c>
      <x:c r="V64" s="7" t="str">
        <x:v>missing_date</x:v>
      </x:c>
    </x:row>
    <x:row r="65" ht="90" customHeight="1">
      <x:c r="A65" s="7" t="str">
        <x:v>mh4-schedule-en-03</x:v>
      </x:c>
      <x:c r="B65" s="7" t="str">
        <x:v>schedule</x:v>
      </x:c>
      <x:c r="C65" s="7" t="str">
        <x:v>Next Monday, 9am, induction at the makerspace. Put it on the calendar.</x:v>
      </x:c>
      <x:c r="D65" s="7" t="str">
        <x:v>draft</x:v>
      </x:c>
      <x:c r="E65" s="7" t="str">
        <x:v>schedule</x:v>
      </x:c>
      <x:c r="F65" s="7" t="str">
        <x:v>draft</x:v>
      </x:c>
      <x:c r="G65" s="7" t="str">
        <x:v>schedule</x:v>
      </x:c>
      <x:c r="H65" s="8" t="n">
        <x:v>1</x:v>
      </x:c>
      <x:c r="I65" s="8" t="n">
        <x:v>2</x:v>
      </x:c>
      <x:c r="J65" s="8" t="n">
        <x:v>2</x:v>
      </x:c>
      <x:c r="K65" s="8" t="n">
        <x:v>1</x:v>
      </x:c>
      <x:c r="L65" s="8" t="n">
        <x:v>1</x:v>
      </x:c>
      <x:c r="M65" s="8" t="n">
        <x:v>1</x:v>
      </x:c>
      <x:c r="N65" s="7" t="str"/>
      <x:c r="O65" s="7" t="str">
        <x:v>{"status":"draft","module":"schedule","title":{"containsAny":["makerspace","induction"]},"date":"2026-10-12","time":"09:00"}</x:v>
      </x:c>
      <x:c r="P65" s="7" t="str">
        <x:v>{"status":"draft","reason":null,"module":"schedule","draft":null,"fields":{"id":"69303e83-e669-423b-a287-7f9924d48238","title":"Induction at the makerspace","notes":"Next Monday, 9am","date":"2026-10-12","time":"09:00","amount":null,"kind":null,"category":null,"account":null,"timezone":"America/Los_Angeles"}}</x:v>
      </x:c>
      <x:c r="Q65" s="7" t="str">
        <x:v>{"intent":"single_task","module":"schedule","title":"Induction at the makerspace","notes":"Next Monday, 9am","date_text":"Next Monday","time_text":"9am"}</x:v>
      </x:c>
      <x:c r="R65" s="8" t="n">
        <x:v>1</x:v>
      </x:c>
      <x:c r="S65" s="8" t="n">
        <x:v>1</x:v>
      </x:c>
      <x:c r="T65" s="8" t="n">
        <x:v>1</x:v>
      </x:c>
      <x:c r="U65" s="8" t="n">
        <x:v>1</x:v>
      </x:c>
      <x:c r="V65" s="7" t="str">
        <x:v>calendar_week</x:v>
      </x:c>
    </x:row>
    <x:row r="66" ht="88" customHeight="1">
      <x:c r="A66" s="7" t="str">
        <x:v>mh4-finance-en-25</x:v>
      </x:c>
      <x:c r="B66" s="7" t="str">
        <x:v>finance</x:v>
      </x:c>
      <x:c r="C66" s="7" t="str">
        <x:v>Change the amount on my saved burger expense to 29 yuan.</x:v>
      </x:c>
      <x:c r="D66" s="7" t="str">
        <x:v>clarification</x:v>
      </x:c>
      <x:c r="E66" s="7" t="str"/>
      <x:c r="F66" s="7" t="str">
        <x:v>clarification</x:v>
      </x:c>
      <x:c r="G66" s="7" t="str"/>
      <x:c r="H66" s="8" t="n">
        <x:v>1</x:v>
      </x:c>
      <x:c r="I66" s="8" t="n">
        <x:v>0</x:v>
      </x:c>
      <x:c r="J66" s="8" t="n">
        <x:v>0</x:v>
      </x:c>
      <x:c r="K66" s="8" t="n">
        <x:v>1</x:v>
      </x:c>
      <x:c r="L66" s="8" t="n">
        <x:v>0</x:v>
      </x:c>
      <x:c r="M66" s="8" t="n">
        <x:v>0</x:v>
      </x:c>
      <x:c r="N66" s="7" t="str"/>
      <x:c r="O66" s="7" t="str">
        <x:v>{"status":"clarification","module":null}</x:v>
      </x:c>
      <x:c r="P66" s="7" t="str">
        <x:v>{"status":"clarification","reason":"unsupported_action","module":null,"draft":null,"fields":null}</x:v>
      </x:c>
      <x:c r="Q66" s="7" t="str"/>
      <x:c r="R66" s="8" t="n">
        <x:v>0</x:v>
      </x:c>
      <x:c r="S66" s="8"/>
      <x:c r="T66" s="8" t="n">
        <x:v>0</x:v>
      </x:c>
      <x:c r="U66" s="8" t="n">
        <x:v>0</x:v>
      </x:c>
      <x:c r="V66" s="7" t="str">
        <x:v>mutation</x:v>
      </x:c>
    </x:row>
    <x:row r="67" ht="90" customHeight="1">
      <x:c r="A67" s="7" t="str">
        <x:v>mh4-health-en-04</x:v>
      </x:c>
      <x:c r="B67" s="7" t="str">
        <x:v>health</x:v>
      </x:c>
      <x:c r="C67" s="7" t="str">
        <x:v>No reminder to use my phone less, just show today's usage statistics.</x:v>
      </x:c>
      <x:c r="D67" s="7" t="str">
        <x:v>draft</x:v>
      </x:c>
      <x:c r="E67" s="7" t="str">
        <x:v>health</x:v>
      </x:c>
      <x:c r="F67" s="7" t="str">
        <x:v>draft</x:v>
      </x:c>
      <x:c r="G67" s="7" t="str">
        <x:v>memo</x:v>
      </x:c>
      <x:c r="H67" s="8" t="n">
        <x:v>0</x:v>
      </x:c>
      <x:c r="I67" s="8" t="n">
        <x:v>0</x:v>
      </x:c>
      <x:c r="J67" s="8" t="n">
        <x:v>0</x:v>
      </x:c>
      <x:c r="K67" s="8" t="n">
        <x:v>0</x:v>
      </x:c>
      <x:c r="L67" s="8" t="n">
        <x:v>1</x:v>
      </x:c>
      <x:c r="M67" s="8" t="n">
        <x:v>0</x:v>
      </x:c>
      <x:c r="N67" s="7" t="str">
        <x:v>module</x:v>
      </x:c>
      <x:c r="O67" s="7" t="str">
        <x:v>{"status":"draft","module":"health"}</x:v>
      </x:c>
      <x:c r="P67" s="7" t="str">
        <x:v>{"status":"draft","reason":null,"draft":{"id":"18385d38-d45c-406a-aac1-6cb48800a104","title":"No reminder to use my phone less, just show today's usage statistics.","notes":"","dueDate":"2026-10-06","timezone":"America/Los_Angeles","priority":null,"dateText":"today","warnings":["priority_missing"]},"module":"memo","fields":null}</x:v>
      </x:c>
      <x:c r="Q67" s="7" t="str">
        <x:v>{"intent":"single_task","module":"health","title":"查看手机使用时长","notes":""}</x:v>
      </x:c>
      <x:c r="R67" s="8" t="n">
        <x:v>1</x:v>
      </x:c>
      <x:c r="S67" s="8" t="n">
        <x:v>1</x:v>
      </x:c>
      <x:c r="T67" s="8" t="n">
        <x:v>0</x:v>
      </x:c>
      <x:c r="U67" s="8" t="n">
        <x:v>0</x:v>
      </x:c>
      <x:c r="V67" s="7" t="str">
        <x:v>negation</x:v>
      </x:c>
    </x:row>
    <x:row r="68" ht="88" customHeight="1">
      <x:c r="A68" s="7" t="str">
        <x:v>mh4-memo-en-16</x:v>
      </x:c>
      <x:c r="B68" s="7" t="str">
        <x:v>memo</x:v>
      </x:c>
      <x:c r="C68" s="7" t="str">
        <x:v>Write a memo about the film named "Tomorrow". That is its name, not a deadline.</x:v>
      </x:c>
      <x:c r="D68" s="7" t="str">
        <x:v>draft</x:v>
      </x:c>
      <x:c r="E68" s="7" t="str">
        <x:v>memo</x:v>
      </x:c>
      <x:c r="F68" s="7" t="str">
        <x:v>draft</x:v>
      </x:c>
      <x:c r="G68" s="7" t="str">
        <x:v>memo</x:v>
      </x:c>
      <x:c r="H68" s="8" t="n">
        <x:v>1</x:v>
      </x:c>
      <x:c r="I68" s="8" t="n">
        <x:v>1</x:v>
      </x:c>
      <x:c r="J68" s="8" t="n">
        <x:v>1</x:v>
      </x:c>
      <x:c r="K68" s="8" t="n">
        <x:v>1</x:v>
      </x:c>
      <x:c r="L68" s="8" t="n">
        <x:v>1</x:v>
      </x:c>
      <x:c r="M68" s="8" t="n">
        <x:v>1</x:v>
      </x:c>
      <x:c r="N68" s="7" t="str"/>
      <x:c r="O68" s="7" t="str">
        <x:v>{"status":"draft","module":"memo","title":{"containsAny":["Tomorrow","film"]},"date":null,"priority":null}</x:v>
      </x:c>
      <x:c r="P68" s="7" t="str">
        <x:v>{"status":"draft","reason":null,"draft":{"id":"4bc7e49b-f12b-4eb6-b156-a8b20740d1dd","title":"Tomorrow","notes":"","dueDate":null,"timezone":"America/Los_Angeles","priority":null,"dateText":null,"warnings":["date_missing","priority_missing"]},"module":"memo","fields":null}</x:v>
      </x:c>
      <x:c r="Q68" s="7" t="str">
        <x:v>{"intent":"single_task","module":"memo","title":"Tomorrow","notes":""}</x:v>
      </x:c>
      <x:c r="R68" s="8" t="n">
        <x:v>1</x:v>
      </x:c>
      <x:c r="S68" s="8" t="n">
        <x:v>1</x:v>
      </x:c>
      <x:c r="T68" s="8" t="n">
        <x:v>1</x:v>
      </x:c>
      <x:c r="U68" s="8" t="n">
        <x:v>1</x:v>
      </x:c>
      <x:c r="V68" s="7" t="str">
        <x:v>quoted_date</x:v>
      </x:c>
    </x:row>
    <x:row r="69" ht="88" customHeight="1">
      <x:c r="A69" s="7" t="str">
        <x:v>mh4-finance-en-30</x:v>
      </x:c>
      <x:c r="B69" s="7" t="str">
        <x:v>finance</x:v>
      </x:c>
      <x:c r="C69" s="7" t="str">
        <x:v>Pay the landlord 2500 yuan from my bank card right now.</x:v>
      </x:c>
      <x:c r="D69" s="7" t="str">
        <x:v>clarification</x:v>
      </x:c>
      <x:c r="E69" s="7" t="str"/>
      <x:c r="F69" s="7" t="str">
        <x:v>draft</x:v>
      </x:c>
      <x:c r="G69" s="7" t="str">
        <x:v>finance</x:v>
      </x:c>
      <x:c r="H69" s="8" t="n">
        <x:v>0</x:v>
      </x:c>
      <x:c r="I69" s="8" t="n">
        <x:v>0</x:v>
      </x:c>
      <x:c r="J69" s="8" t="n">
        <x:v>0</x:v>
      </x:c>
      <x:c r="K69" s="8" t="n">
        <x:v>0</x:v>
      </x:c>
      <x:c r="L69" s="8" t="n">
        <x:v>0</x:v>
      </x:c>
      <x:c r="M69" s="8" t="n">
        <x:v>0</x:v>
      </x:c>
      <x:c r="N69" s="7" t="str">
        <x:v>status, module</x:v>
      </x:c>
      <x:c r="O69" s="7" t="str">
        <x:v>{"status":"clarification","module":null}</x:v>
      </x:c>
      <x:c r="P69" s="7" t="str">
        <x:v>{"status":"draft","reason":null,"module":"finance","draft":null,"fields":{"id":"6b000891-bc5f-4d49-a3a7-e4a229f87fc2","title":"Pay rent","notes":"","date":null,"time":null,"amount":"2500","kind":null,"category":"Bills","account":"Bank Card","timezone":"America/Los_Angeles"}}</x:v>
      </x:c>
      <x:c r="Q69" s="7" t="str">
        <x:v>{"intent":"single_task","module":"finance","title":"Pay rent","notes":"","date_text":"now","amount":"2500","kind":"expense","category":"Bills","account":"Bank Card"}</x:v>
      </x:c>
      <x:c r="R69" s="8" t="n">
        <x:v>1</x:v>
      </x:c>
      <x:c r="S69" s="8" t="n">
        <x:v>0</x:v>
      </x:c>
      <x:c r="T69" s="8" t="n">
        <x:v>0</x:v>
      </x:c>
      <x:c r="U69" s="8" t="n">
        <x:v>0</x:v>
      </x:c>
      <x:c r="V69" s="7" t="str">
        <x:v>external_action</x:v>
      </x:c>
    </x:row>
    <x:row r="70" ht="88" customHeight="1">
      <x:c r="A70" s="7" t="str">
        <x:v>mh4-schedule-en-27</x:v>
      </x:c>
      <x:c r="B70" s="7" t="str">
        <x:v>schedule</x:v>
      </x:c>
      <x:c r="C70" s="7" t="str">
        <x:v>List all the appointments currently on my calendar for tomorrow.</x:v>
      </x:c>
      <x:c r="D70" s="7" t="str">
        <x:v>clarification</x:v>
      </x:c>
      <x:c r="E70" s="7" t="str"/>
      <x:c r="F70" s="7" t="str">
        <x:v>draft</x:v>
      </x:c>
      <x:c r="G70" s="7" t="str">
        <x:v>schedule</x:v>
      </x:c>
      <x:c r="H70" s="8" t="n">
        <x:v>0</x:v>
      </x:c>
      <x:c r="I70" s="8" t="n">
        <x:v>0</x:v>
      </x:c>
      <x:c r="J70" s="8" t="n">
        <x:v>0</x:v>
      </x:c>
      <x:c r="K70" s="8" t="n">
        <x:v>0</x:v>
      </x:c>
      <x:c r="L70" s="8" t="n">
        <x:v>0</x:v>
      </x:c>
      <x:c r="M70" s="8" t="n">
        <x:v>0</x:v>
      </x:c>
      <x:c r="N70" s="7" t="str">
        <x:v>status, module</x:v>
      </x:c>
      <x:c r="O70" s="7" t="str">
        <x:v>{"status":"clarification","module":null}</x:v>
      </x:c>
      <x:c r="P70" s="7" t="str">
        <x:v>{"status":"draft","reason":null,"module":"schedule","draft":null,"fields":{"id":"89e409c1-8fea-4a8e-9c80-0d153ee07bb1","title":"Appointments","notes":"","date":"2026-10-07","time":null,"amount":null,"kind":null,"category":null,"account":null,"timezone":"America/Los_Angeles"}}</x:v>
      </x:c>
      <x:c r="Q70" s="7" t="str">
        <x:v>{"intent":"single_task","module":"schedule","title":"Appointments","notes":"","date_text":"tomorrow","time_text":"all"}</x:v>
      </x:c>
      <x:c r="R70" s="8" t="n">
        <x:v>1</x:v>
      </x:c>
      <x:c r="S70" s="8" t="n">
        <x:v>0</x:v>
      </x:c>
      <x:c r="T70" s="8" t="n">
        <x:v>0</x:v>
      </x:c>
      <x:c r="U70" s="8" t="n">
        <x:v>0</x:v>
      </x:c>
      <x:c r="V70" s="7" t="str">
        <x:v>unsupported_query</x:v>
      </x:c>
    </x:row>
    <x:row r="71" ht="88" customHeight="1">
      <x:c r="A71" s="7" t="str">
        <x:v>mh4-finance-en-24</x:v>
      </x:c>
      <x:c r="B71" s="7" t="str">
        <x:v>finance</x:v>
      </x:c>
      <x:c r="C71" s="7" t="str">
        <x:v>Internet bill paid today, 88 yuan from my bank card.</x:v>
      </x:c>
      <x:c r="D71" s="7" t="str">
        <x:v>draft</x:v>
      </x:c>
      <x:c r="E71" s="7" t="str">
        <x:v>finance</x:v>
      </x:c>
      <x:c r="F71" s="7" t="str">
        <x:v>draft</x:v>
      </x:c>
      <x:c r="G71" s="7" t="str">
        <x:v>finance</x:v>
      </x:c>
      <x:c r="H71" s="8" t="n">
        <x:v>1</x:v>
      </x:c>
      <x:c r="I71" s="8" t="n">
        <x:v>6</x:v>
      </x:c>
      <x:c r="J71" s="8" t="n">
        <x:v>6</x:v>
      </x:c>
      <x:c r="K71" s="8" t="n">
        <x:v>1</x:v>
      </x:c>
      <x:c r="L71" s="8" t="n">
        <x:v>1</x:v>
      </x:c>
      <x:c r="M71" s="8" t="n">
        <x:v>1</x:v>
      </x:c>
      <x:c r="N71" s="7" t="str"/>
      <x:c r="O71" s="7" t="str">
        <x:v>{"status":"draft","module":"finance","title":{"containsAny":["internet","bill"]},"amount":"88","kind":"expense","category":"Bills","account":"Bank Card","date":"2026-10-06"}</x:v>
      </x:c>
      <x:c r="P71" s="7" t="str">
        <x:v>{"status":"draft","reason":null,"module":"finance","draft":null,"fields":{"id":"6653be32-635e-4258-a97a-3e378a6c5c0a","title":"Internet bill","notes":"","date":"2026-10-06","time":null,"amount":"88","kind":"expense","category":"Bills","account":"Bank Card","timezone":"America/Los_Angeles"}}</x:v>
      </x:c>
      <x:c r="Q71" s="7" t="str">
        <x:v>{"intent":"single_task","module":"finance","title":"Internet bill","notes":"","date_text":"today","amount":"88","kind":"expense","category":"Bills","account":"Bank Card"}</x:v>
      </x:c>
      <x:c r="R71" s="8" t="n">
        <x:v>1</x:v>
      </x:c>
      <x:c r="S71" s="8" t="n">
        <x:v>1</x:v>
      </x:c>
      <x:c r="T71" s="8" t="n">
        <x:v>1</x:v>
      </x:c>
      <x:c r="U71" s="8" t="n">
        <x:v>1</x:v>
      </x:c>
      <x:c r="V71" s="7" t="str">
        <x:v>timezone_boundary</x:v>
      </x:c>
    </x:row>
    <x:row r="72" ht="88" customHeight="1">
      <x:c r="A72" s="7" t="str">
        <x:v>mh4-memo-en-07</x:v>
      </x:c>
      <x:c r="B72" s="7" t="str">
        <x:v>memo</x:v>
      </x:c>
      <x:c r="C72" s="7" t="str">
        <x:v>No calendar booking please. Just jot down that the lift code ends in 48.</x:v>
      </x:c>
      <x:c r="D72" s="7" t="str">
        <x:v>draft</x:v>
      </x:c>
      <x:c r="E72" s="7" t="str">
        <x:v>memo</x:v>
      </x:c>
      <x:c r="F72" s="7" t="str">
        <x:v>draft</x:v>
      </x:c>
      <x:c r="G72" s="7" t="str">
        <x:v>schedule</x:v>
      </x:c>
      <x:c r="H72" s="8" t="n">
        <x:v>0</x:v>
      </x:c>
      <x:c r="I72" s="8" t="n">
        <x:v>1</x:v>
      </x:c>
      <x:c r="J72" s="8" t="n">
        <x:v>1</x:v>
      </x:c>
      <x:c r="K72" s="8" t="n">
        <x:v>0</x:v>
      </x:c>
      <x:c r="L72" s="8" t="n">
        <x:v>1</x:v>
      </x:c>
      <x:c r="M72" s="8" t="n">
        <x:v>0</x:v>
      </x:c>
      <x:c r="N72" s="7" t="str">
        <x:v>module, priority</x:v>
      </x:c>
      <x:c r="O72" s="7" t="str">
        <x:v>{"status":"draft","module":"memo","title":{"containsAny":["lift","code"]},"date":null,"priority":null}</x:v>
      </x:c>
      <x:c r="P72" s="7" t="str">
        <x:v>{"status":"draft","reason":null,"module":"schedule","draft":null,"fields":{"id":"f39e6f33-920a-4277-86ae-021e23cd1bf0","title":"Lift Code","notes":"Lift code ends in 48","date":null,"time":null,"amount":null,"kind":null,"category":null,"account":null,"timezone":"America/Los_Angeles"}}</x:v>
      </x:c>
      <x:c r="Q72" s="7" t="str">
        <x:v>{"intent":"single_task","module":"memo","title":"Lift Code","notes":"Lift code ends in 48","date_text":"null","time_text":"null"}</x:v>
      </x:c>
      <x:c r="R72" s="8" t="n">
        <x:v>1</x:v>
      </x:c>
      <x:c r="S72" s="8" t="n">
        <x:v>1</x:v>
      </x:c>
      <x:c r="T72" s="8" t="n">
        <x:v>1</x:v>
      </x:c>
      <x:c r="U72" s="8" t="n">
        <x:v>1</x:v>
      </x:c>
      <x:c r="V72" s="7" t="str">
        <x:v>negation</x:v>
      </x:c>
    </x:row>
    <x:row r="73" ht="88" customHeight="1">
      <x:c r="A73" s="7" t="str">
        <x:v>mh4-schedule-en-05</x:v>
      </x:c>
      <x:c r="B73" s="7" t="str">
        <x:v>schedule</x:v>
      </x:c>
      <x:c r="C73" s="7" t="str">
        <x:v>In 2 days at 10:15am I have a hearing test; schedule it.</x:v>
      </x:c>
      <x:c r="D73" s="7" t="str">
        <x:v>draft</x:v>
      </x:c>
      <x:c r="E73" s="7" t="str">
        <x:v>schedule</x:v>
      </x:c>
      <x:c r="F73" s="7" t="str">
        <x:v>draft</x:v>
      </x:c>
      <x:c r="G73" s="7" t="str">
        <x:v>schedule</x:v>
      </x:c>
      <x:c r="H73" s="8" t="n">
        <x:v>1</x:v>
      </x:c>
      <x:c r="I73" s="8" t="n">
        <x:v>2</x:v>
      </x:c>
      <x:c r="J73" s="8" t="n">
        <x:v>2</x:v>
      </x:c>
      <x:c r="K73" s="8" t="n">
        <x:v>1</x:v>
      </x:c>
      <x:c r="L73" s="8" t="n">
        <x:v>1</x:v>
      </x:c>
      <x:c r="M73" s="8" t="n">
        <x:v>1</x:v>
      </x:c>
      <x:c r="N73" s="7" t="str"/>
      <x:c r="O73" s="7" t="str">
        <x:v>{"status":"draft","module":"schedule","title":{"containsAny":["hearing"]},"date":"2026-10-08","time":"10:15"}</x:v>
      </x:c>
      <x:c r="P73" s="7" t="str">
        <x:v>{"status":"draft","reason":null,"module":"schedule","draft":null,"fields":{"id":"b828e88a-d3f9-4546-b129-9e5ace2337ef","title":"Hearing Test","notes":"","date":"2026-10-08","time":"10:15","amount":null,"kind":null,"category":null,"account":null,"timezone":"America/Los_Angeles"}}</x:v>
      </x:c>
      <x:c r="Q73" s="7" t="str">
        <x:v>{"intent":"single_task","module":"schedule","title":"Hearing Test","notes":"","date_text":"2 days from now","time_text":"10:15am"}</x:v>
      </x:c>
      <x:c r="R73" s="8" t="n">
        <x:v>1</x:v>
      </x:c>
      <x:c r="S73" s="8" t="n">
        <x:v>1</x:v>
      </x:c>
      <x:c r="T73" s="8" t="n">
        <x:v>1</x:v>
      </x:c>
      <x:c r="U73" s="8" t="n">
        <x:v>1</x:v>
      </x:c>
      <x:c r="V73" s="7" t="str">
        <x:v>relative_date</x:v>
      </x:c>
    </x:row>
    <x:row r="74" ht="88" customHeight="1">
      <x:c r="A74" s="7" t="str">
        <x:v>mh4-health-en-16</x:v>
      </x:c>
      <x:c r="B74" s="7" t="str">
        <x:v>health</x:v>
      </x:c>
      <x:c r="C74" s="7" t="str">
        <x:v>Before today ends I want to check the total screen time so far.</x:v>
      </x:c>
      <x:c r="D74" s="7" t="str">
        <x:v>draft</x:v>
      </x:c>
      <x:c r="E74" s="7" t="str">
        <x:v>health</x:v>
      </x:c>
      <x:c r="F74" s="7" t="str">
        <x:v>draft</x:v>
      </x:c>
      <x:c r="G74" s="7" t="str">
        <x:v>health</x:v>
      </x:c>
      <x:c r="H74" s="8" t="n">
        <x:v>1</x:v>
      </x:c>
      <x:c r="I74" s="8" t="n">
        <x:v>0</x:v>
      </x:c>
      <x:c r="J74" s="8" t="n">
        <x:v>0</x:v>
      </x:c>
      <x:c r="K74" s="8" t="n">
        <x:v>1</x:v>
      </x:c>
      <x:c r="L74" s="8" t="n">
        <x:v>1</x:v>
      </x:c>
      <x:c r="M74" s="8" t="n">
        <x:v>1</x:v>
      </x:c>
      <x:c r="N74" s="7" t="str"/>
      <x:c r="O74" s="7" t="str">
        <x:v>{"status":"draft","module":"health"}</x:v>
      </x:c>
      <x:c r="P74" s="7" t="str">
        <x:v>{"status":"draft","reason":null,"module":"health","draft":null,"fields":{"id":"ef68d859-51da-4cb7-973a-489ad1c88be2","title":"View phone usage","notes":"","date":"2026-10-06","time":null,"amount":null,"kind":null,"category":null,"account":null,"timezone":"America/Los_Angeles"}}</x:v>
      </x:c>
      <x:c r="Q74" s="7" t="str">
        <x:v>{"intent":"single_task","module":"health","title":"查看手机使用时长","notes":""}</x:v>
      </x:c>
      <x:c r="R74" s="8" t="n">
        <x:v>1</x:v>
      </x:c>
      <x:c r="S74" s="8" t="n">
        <x:v>1</x:v>
      </x:c>
      <x:c r="T74" s="8" t="n">
        <x:v>0</x:v>
      </x:c>
      <x:c r="U74" s="8" t="n">
        <x:v>0</x:v>
      </x:c>
      <x:c r="V74" s="7" t="str">
        <x:v>usage_query</x:v>
      </x:c>
    </x:row>
    <x:row r="75" ht="88" customHeight="1">
      <x:c r="A75" s="7" t="str">
        <x:v>mh4-schedule-en-29</x:v>
      </x:c>
      <x:c r="B75" s="7" t="str">
        <x:v>schedule</x:v>
      </x:c>
      <x:c r="C75" s="7" t="str">
        <x:v>Schedule a Sunday walk at 9am and log 65 yuan spent on hiking socks today.</x:v>
      </x:c>
      <x:c r="D75" s="7" t="str">
        <x:v>clarification</x:v>
      </x:c>
      <x:c r="E75" s="7" t="str"/>
      <x:c r="F75" s="7" t="str">
        <x:v>clarification</x:v>
      </x:c>
      <x:c r="G75" s="7" t="str"/>
      <x:c r="H75" s="8" t="n">
        <x:v>1</x:v>
      </x:c>
      <x:c r="I75" s="8" t="n">
        <x:v>0</x:v>
      </x:c>
      <x:c r="J75" s="8" t="n">
        <x:v>0</x:v>
      </x:c>
      <x:c r="K75" s="8" t="n">
        <x:v>1</x:v>
      </x:c>
      <x:c r="L75" s="8" t="n">
        <x:v>0</x:v>
      </x:c>
      <x:c r="M75" s="8" t="n">
        <x:v>0</x:v>
      </x:c>
      <x:c r="N75" s="7" t="str"/>
      <x:c r="O75" s="7" t="str">
        <x:v>{"status":"clarification","module":null}</x:v>
      </x:c>
      <x:c r="P75" s="7" t="str">
        <x:v>{"status":"clarification","reason":"multiple_tasks","module":null,"draft":null,"fields":null}</x:v>
      </x:c>
      <x:c r="Q75" s="7" t="str"/>
      <x:c r="R75" s="8" t="n">
        <x:v>0</x:v>
      </x:c>
      <x:c r="S75" s="8"/>
      <x:c r="T75" s="8" t="n">
        <x:v>0</x:v>
      </x:c>
      <x:c r="U75" s="8" t="n">
        <x:v>0</x:v>
      </x:c>
      <x:c r="V75" s="7" t="str">
        <x:v>multiple_actions</x:v>
      </x:c>
    </x:row>
    <x:row r="76" ht="88" customHeight="1">
      <x:c r="A76" s="7" t="str">
        <x:v>mh4-health-en-10</x:v>
      </x:c>
      <x:c r="B76" s="7" t="str">
        <x:v>health</x:v>
      </x:c>
      <x:c r="C76" s="7" t="str">
        <x:v>I suspect I watched too many clips today; show me the per-app usage durations.</x:v>
      </x:c>
      <x:c r="D76" s="7" t="str">
        <x:v>draft</x:v>
      </x:c>
      <x:c r="E76" s="7" t="str">
        <x:v>health</x:v>
      </x:c>
      <x:c r="F76" s="7" t="str">
        <x:v>draft</x:v>
      </x:c>
      <x:c r="G76" s="7" t="str">
        <x:v>health</x:v>
      </x:c>
      <x:c r="H76" s="8" t="n">
        <x:v>1</x:v>
      </x:c>
      <x:c r="I76" s="8" t="n">
        <x:v>0</x:v>
      </x:c>
      <x:c r="J76" s="8" t="n">
        <x:v>0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{"status":"draft","module":"health"}</x:v>
      </x:c>
      <x:c r="P76" s="7" t="str">
        <x:v>{"status":"draft","reason":null,"module":"health","draft":null,"fields":{"id":"000dd49f-2594-4e5e-ae79-cec4ef93ab93","title":"View phone usage","notes":"","date":"2026-10-06","time":null,"amount":null,"kind":null,"category":null,"account":null,"timezone":"America/Los_Angeles"}}</x:v>
      </x:c>
      <x:c r="Q76" s="7" t="str">
        <x:v>{"intent":"single_task","module":"health","title":"查看手机使用时长","notes":""}</x:v>
      </x:c>
      <x:c r="R76" s="8" t="n">
        <x:v>1</x:v>
      </x:c>
      <x:c r="S76" s="8" t="n">
        <x:v>1</x:v>
      </x:c>
      <x:c r="T76" s="8" t="n">
        <x:v>0</x:v>
      </x:c>
      <x:c r="U76" s="8" t="n">
        <x:v>0</x:v>
      </x:c>
      <x:c r="V76" s="7" t="str">
        <x:v>app_breakdown</x:v>
      </x:c>
    </x:row>
    <x:row r="77" ht="88" customHeight="1">
      <x:c r="A77" s="7" t="str">
        <x:v>mh4-health-en-18</x:v>
      </x:c>
      <x:c r="B77" s="7" t="str">
        <x:v>health</x:v>
      </x:c>
      <x:c r="C77" s="7" t="str">
        <x:v>Take me to the current Health page without creating a record.</x:v>
      </x:c>
      <x:c r="D77" s="7" t="str">
        <x:v>draft</x:v>
      </x:c>
      <x:c r="E77" s="7" t="str">
        <x:v>health</x:v>
      </x:c>
      <x:c r="F77" s="7" t="str">
        <x:v>draft</x:v>
      </x:c>
      <x:c r="G77" s="7" t="str">
        <x:v>health</x:v>
      </x:c>
      <x:c r="H77" s="8" t="n">
        <x:v>1</x:v>
      </x:c>
      <x:c r="I77" s="8" t="n">
        <x:v>0</x:v>
      </x:c>
      <x:c r="J77" s="8" t="n">
        <x:v>0</x:v>
      </x:c>
      <x:c r="K77" s="8" t="n">
        <x:v>1</x:v>
      </x:c>
      <x:c r="L77" s="8" t="n">
        <x:v>1</x:v>
      </x:c>
      <x:c r="M77" s="8" t="n">
        <x:v>1</x:v>
      </x:c>
      <x:c r="N77" s="7" t="str"/>
      <x:c r="O77" s="7" t="str">
        <x:v>{"status":"draft","module":"health"}</x:v>
      </x:c>
      <x:c r="P77" s="7" t="str">
        <x:v>{"status":"draft","reason":null,"module":"health","draft":null,"fields":{"id":"c62dea27-f8f4-4c15-80e0-adb7847b4959","title":"View phone usage","notes":"","date":null,"time":null,"amount":null,"kind":null,"category":null,"account":null,"timezone":"America/Los_Angeles"}}</x:v>
      </x:c>
      <x:c r="Q77" s="7" t="str">
        <x:v>{"intent":"single_task","module":"health","title":"Health","notes":""}</x:v>
      </x:c>
      <x:c r="R77" s="8" t="n">
        <x:v>1</x:v>
      </x:c>
      <x:c r="S77" s="8" t="n">
        <x:v>1</x:v>
      </x:c>
      <x:c r="T77" s="8" t="n">
        <x:v>0</x:v>
      </x:c>
      <x:c r="U77" s="8" t="n">
        <x:v>0</x:v>
      </x:c>
      <x:c r="V77" s="7" t="str">
        <x:v>open_page</x:v>
      </x:c>
    </x:row>
    <x:row r="78" ht="88" customHeight="1">
      <x:c r="A78" s="7" t="str">
        <x:v>mh4-health-en-14</x:v>
      </x:c>
      <x:c r="B78" s="7" t="str">
        <x:v>health</x:v>
      </x:c>
      <x:c r="C78" s="7" t="str">
        <x:v>Which apps have taken up my time today? Display this device's usage.</x:v>
      </x:c>
      <x:c r="D78" s="7" t="str">
        <x:v>draft</x:v>
      </x:c>
      <x:c r="E78" s="7" t="str">
        <x:v>health</x:v>
      </x:c>
      <x:c r="F78" s="7" t="str">
        <x:v>clarification</x:v>
      </x:c>
      <x:c r="G78" s="7" t="str"/>
      <x:c r="H78" s="8" t="n">
        <x:v>0</x:v>
      </x:c>
      <x:c r="I78" s="8" t="n">
        <x:v>0</x:v>
      </x:c>
      <x:c r="J78" s="8" t="n">
        <x:v>0</x:v>
      </x:c>
      <x:c r="K78" s="8" t="n">
        <x:v>0</x:v>
      </x:c>
      <x:c r="L78" s="8" t="n">
        <x:v>1</x:v>
      </x:c>
      <x:c r="M78" s="8" t="n">
        <x:v>0</x:v>
      </x:c>
      <x:c r="N78" s="7" t="str">
        <x:v>status, module</x:v>
      </x:c>
      <x:c r="O78" s="7" t="str">
        <x:v>{"status":"draft","module":"health"}</x:v>
      </x:c>
      <x:c r="P78" s="7" t="str">
        <x:v>{"status":"clarification","reason":"health_unsupported","module":null,"draft":null,"fields":null}</x:v>
      </x:c>
      <x:c r="Q78" s="7" t="str">
        <x:v>{"intent":"single_task","module":"health","title":"查看手机使用时长","notes":""}</x:v>
      </x:c>
      <x:c r="R78" s="8" t="n">
        <x:v>1</x:v>
      </x:c>
      <x:c r="S78" s="8" t="n">
        <x:v>1</x:v>
      </x:c>
      <x:c r="T78" s="8" t="n">
        <x:v>0</x:v>
      </x:c>
      <x:c r="U78" s="8" t="n">
        <x:v>0</x:v>
      </x:c>
      <x:c r="V78" s="7" t="str">
        <x:v>app_breakdown</x:v>
      </x:c>
    </x:row>
    <x:row r="79" ht="88" customHeight="1">
      <x:c r="A79" s="7" t="str">
        <x:v>mh4-health-en-03</x:v>
      </x:c>
      <x:c r="B79" s="7" t="str">
        <x:v>health</x:v>
      </x:c>
      <x:c r="C79" s="7" t="str">
        <x:v>Open the screen-time dashboard for this device.</x:v>
      </x:c>
      <x:c r="D79" s="7" t="str">
        <x:v>draft</x:v>
      </x:c>
      <x:c r="E79" s="7" t="str">
        <x:v>health</x:v>
      </x:c>
      <x:c r="F79" s="7" t="str">
        <x:v>draft</x:v>
      </x:c>
      <x:c r="G79" s="7" t="str">
        <x:v>health</x:v>
      </x:c>
      <x:c r="H79" s="8" t="n">
        <x:v>1</x:v>
      </x:c>
      <x:c r="I79" s="8" t="n">
        <x:v>0</x:v>
      </x:c>
      <x:c r="J79" s="8" t="n">
        <x:v>0</x:v>
      </x:c>
      <x:c r="K79" s="8" t="n">
        <x:v>1</x:v>
      </x:c>
      <x:c r="L79" s="8" t="n">
        <x:v>1</x:v>
      </x:c>
      <x:c r="M79" s="8" t="n">
        <x:v>1</x:v>
      </x:c>
      <x:c r="N79" s="7" t="str"/>
      <x:c r="O79" s="7" t="str">
        <x:v>{"status":"draft","module":"health"}</x:v>
      </x:c>
      <x:c r="P79" s="7" t="str">
        <x:v>{"status":"draft","reason":null,"module":"health","draft":null,"fields":{"id":"407f4dfe-213b-49aa-88a2-d9af3174c114","title":"View phone usage","notes":"","date":null,"time":null,"amount":null,"kind":null,"category":null,"account":null,"timezone":"America/Los_Angeles"}}</x:v>
      </x:c>
      <x:c r="Q79" s="7" t="str">
        <x:v>{"intent":"single_task","module":"health","title":"查看手机使用时长","notes":""}</x:v>
      </x:c>
      <x:c r="R79" s="8" t="n">
        <x:v>1</x:v>
      </x:c>
      <x:c r="S79" s="8" t="n">
        <x:v>1</x:v>
      </x:c>
      <x:c r="T79" s="8" t="n">
        <x:v>0</x:v>
      </x:c>
      <x:c r="U79" s="8" t="n">
        <x:v>0</x:v>
      </x:c>
      <x:c r="V79" s="7" t="str">
        <x:v>open_page</x:v>
      </x:c>
    </x:row>
    <x:row r="80" ht="90" customHeight="1">
      <x:c r="A80" s="7" t="str">
        <x:v>mh4-memo-en-04</x:v>
      </x:c>
      <x:c r="B80" s="7" t="str">
        <x:v>memo</x:v>
      </x:c>
      <x:c r="C80" s="7" t="str">
        <x:v>Whenever life calms down, digitize the cassette tapes. Add that to my to-dos.</x:v>
      </x:c>
      <x:c r="D80" s="7" t="str">
        <x:v>draft</x:v>
      </x:c>
      <x:c r="E80" s="7" t="str">
        <x:v>memo</x:v>
      </x:c>
      <x:c r="F80" s="7" t="str">
        <x:v>draft</x:v>
      </x:c>
      <x:c r="G80" s="7" t="str">
        <x:v>memo</x:v>
      </x:c>
      <x:c r="H80" s="8" t="n">
        <x:v>1</x:v>
      </x:c>
      <x:c r="I80" s="8" t="n">
        <x:v>1</x:v>
      </x:c>
      <x:c r="J80" s="8" t="n">
        <x:v>1</x:v>
      </x:c>
      <x:c r="K80" s="8" t="n">
        <x:v>1</x:v>
      </x:c>
      <x:c r="L80" s="8" t="n">
        <x:v>1</x:v>
      </x:c>
      <x:c r="M80" s="8" t="n">
        <x:v>1</x:v>
      </x:c>
      <x:c r="N80" s="7" t="str"/>
      <x:c r="O80" s="7" t="str">
        <x:v>{"status":"draft","module":"memo","title":{"containsAny":["cassette","tape"]},"date":null,"priority":null}</x:v>
      </x:c>
      <x:c r="P80" s="7" t="str">
        <x:v>{"status":"draft","reason":null,"draft":{"id":"05bbb180-1009-453d-a899-dddad10ee8dd","title":"Digitize cassette tapes","notes":"Add to to-dos","dueDate":null,"timezone":"America/Los_Angeles","priority":null,"dateText":"Whenever life calms down","warnings":["date_needs_review","priority_missing"]},"module":"memo","fields":null}</x:v>
      </x:c>
      <x:c r="Q80" s="7" t="str">
        <x:v>{"intent":"single_task","module":"memo","title":"Digitize cassette tapes","notes":"Add to to-dos","date_text":"Whenever life calms down","priority":"absent"}}</x:v>
      </x:c>
      <x:c r="R80" s="8" t="n">
        <x:v>1</x:v>
      </x:c>
      <x:c r="S80" s="8" t="n">
        <x:v>0</x:v>
      </x:c>
      <x:c r="T80" s="8" t="n">
        <x:v>1</x:v>
      </x:c>
      <x:c r="U80" s="8" t="n">
        <x:v>1</x:v>
      </x:c>
      <x:c r="V80" s="7" t="str">
        <x:v>vague_date</x:v>
      </x:c>
    </x:row>
    <x:row r="81" ht="90" customHeight="1">
      <x:c r="A81" s="7" t="str">
        <x:v>mh4-memo-en-10</x:v>
      </x:c>
      <x:c r="B81" s="7" t="str">
        <x:v>memo</x:v>
      </x:c>
      <x:c r="C81" s="7" t="str">
        <x:v>In 4 days, return the rented microphone; put it on my checklist.</x:v>
      </x:c>
      <x:c r="D81" s="7" t="str">
        <x:v>draft</x:v>
      </x:c>
      <x:c r="E81" s="7" t="str">
        <x:v>memo</x:v>
      </x:c>
      <x:c r="F81" s="7" t="str">
        <x:v>draft</x:v>
      </x:c>
      <x:c r="G81" s="7" t="str">
        <x:v>schedule</x:v>
      </x:c>
      <x:c r="H81" s="8" t="n">
        <x:v>0</x:v>
      </x:c>
      <x:c r="I81" s="8" t="n">
        <x:v>1</x:v>
      </x:c>
      <x:c r="J81" s="8" t="n">
        <x:v>1</x:v>
      </x:c>
      <x:c r="K81" s="8" t="n">
        <x:v>0</x:v>
      </x:c>
      <x:c r="L81" s="8" t="n">
        <x:v>1</x:v>
      </x:c>
      <x:c r="M81" s="8" t="n">
        <x:v>0</x:v>
      </x:c>
      <x:c r="N81" s="7" t="str">
        <x:v>module, priority</x:v>
      </x:c>
      <x:c r="O81" s="7" t="str">
        <x:v>{"status":"draft","module":"memo","title":{"containsAny":["microphone"]},"date":"2026-10-10","priority":null}</x:v>
      </x:c>
      <x:c r="P81" s="7" t="str">
        <x:v>{"status":"draft","reason":null,"module":"schedule","draft":null,"fields":{"id":"823fbd22-1670-40fe-b1db-b77e04572b36","title":"Return rented microphone","notes":"put it on my checklist","date":"2026-10-10","time":null,"amount":null,"kind":null,"category":null,"account":null,"timezone":"America/Los_Angeles"}}</x:v>
      </x:c>
      <x:c r="Q81" s="7" t="str">
        <x:v>{"intent":"single_task","module":"schedule","title":"Return rented microphone","notes":"put it on my checklist","date_text":"4 days from now"}</x:v>
      </x:c>
      <x:c r="R81" s="8" t="n">
        <x:v>1</x:v>
      </x:c>
      <x:c r="S81" s="8" t="n">
        <x:v>0</x:v>
      </x:c>
      <x:c r="T81" s="8" t="n">
        <x:v>1</x:v>
      </x:c>
      <x:c r="U81" s="8" t="n">
        <x:v>1</x:v>
      </x:c>
      <x:c r="V81" s="7" t="str">
        <x:v>relative_date</x:v>
      </x:c>
    </x:row>
    <x:row r="82" ht="88" customHeight="1">
      <x:c r="A82" s="7" t="str">
        <x:v>mh4-schedule-en-24</x:v>
      </x:c>
      <x:c r="B82" s="7" t="str">
        <x:v>schedule</x:v>
      </x:c>
      <x:c r="C82" s="7" t="str">
        <x:v>Rehearsal with the band "Next Tuesday" tomorrow at 5pm; the band name is not a date.</x:v>
      </x:c>
      <x:c r="D82" s="7" t="str">
        <x:v>draft</x:v>
      </x:c>
      <x:c r="E82" s="7" t="str">
        <x:v>schedule</x:v>
      </x:c>
      <x:c r="F82" s="7" t="str">
        <x:v>draft</x:v>
      </x:c>
      <x:c r="G82" s="7" t="str">
        <x:v>schedule</x:v>
      </x:c>
      <x:c r="H82" s="8" t="n">
        <x:v>1</x:v>
      </x:c>
      <x:c r="I82" s="8" t="n">
        <x:v>1</x:v>
      </x:c>
      <x:c r="J82" s="8" t="n">
        <x:v>2</x:v>
      </x:c>
      <x:c r="K82" s="8" t="n">
        <x:v>0</x:v>
      </x:c>
      <x:c r="L82" s="8" t="n">
        <x:v>1</x:v>
      </x:c>
      <x:c r="M82" s="8" t="n">
        <x:v>0</x:v>
      </x:c>
      <x:c r="N82" s="7" t="str">
        <x:v>date</x:v>
      </x:c>
      <x:c r="O82" s="7" t="str">
        <x:v>{"status":"draft","module":"schedule","title":{"containsAny":["rehearsal","band"]},"date":"2026-10-07","time":"17:00"}</x:v>
      </x:c>
      <x:c r="P82" s="7" t="str">
        <x:v>{"status":"draft","reason":null,"module":"schedule","draft":null,"fields":{"id":"63dc984a-51b6-426d-b380-582f747c4f56","title":"Rehearsal with the band","notes":"","date":null,"time":"17:00","amount":null,"kind":null,"category":null,"account":null,"timezone":"America/Los_Angeles"}}</x:v>
      </x:c>
      <x:c r="Q82" s="7" t="str">
        <x:v>{"intent":"single_task","module":"schedule","title":"Rehearsal with the band","notes":"","date_text":"tomorrow","time_text":"5pm"}</x:v>
      </x:c>
      <x:c r="R82" s="8" t="n">
        <x:v>1</x:v>
      </x:c>
      <x:c r="S82" s="8" t="n">
        <x:v>1</x:v>
      </x:c>
      <x:c r="T82" s="8" t="n">
        <x:v>1</x:v>
      </x:c>
      <x:c r="U82" s="8" t="n">
        <x:v>0</x:v>
      </x:c>
      <x:c r="V82" s="7" t="str">
        <x:v>quoted_date</x:v>
      </x:c>
    </x:row>
    <x:row r="83" ht="90" customHeight="1">
      <x:c r="A83" s="7" t="str">
        <x:v>mh4-memo-en-18</x:v>
      </x:c>
      <x:c r="B83" s="7" t="str">
        <x:v>memo</x:v>
      </x:c>
      <x:c r="C83" s="7" t="str">
        <x:v>Do not log an expense; just make a task to check how tuition instalments work.</x:v>
      </x:c>
      <x:c r="D83" s="7" t="str">
        <x:v>draft</x:v>
      </x:c>
      <x:c r="E83" s="7" t="str">
        <x:v>memo</x:v>
      </x:c>
      <x:c r="F83" s="7" t="str">
        <x:v>draft</x:v>
      </x:c>
      <x:c r="G83" s="7" t="str">
        <x:v>memo</x:v>
      </x:c>
      <x:c r="H83" s="8" t="n">
        <x:v>1</x:v>
      </x:c>
      <x:c r="I83" s="8" t="n">
        <x:v>0</x:v>
      </x:c>
      <x:c r="J83" s="8" t="n">
        <x:v>1</x:v>
      </x:c>
      <x:c r="K83" s="8" t="n">
        <x:v>0</x:v>
      </x:c>
      <x:c r="L83" s="8" t="n">
        <x:v>1</x:v>
      </x:c>
      <x:c r="M83" s="8" t="n">
        <x:v>0</x:v>
      </x:c>
      <x:c r="N83" s="7" t="str">
        <x:v>title</x:v>
      </x:c>
      <x:c r="O83" s="7" t="str">
        <x:v>{"status":"draft","module":"memo","title":{"containsAny":["tuition","instalment"]},"date":null,"priority":null}</x:v>
      </x:c>
      <x:c r="P83" s="7" t="str">
        <x:v>{"status":"draft","reason":null,"draft":{"id":"3c552c57-428a-4130-88c9-2e5307bd7b90","title":"Do not log an expense","notes":"Do not log an expense","dueDate":null,"timezone":"America/Los_Angeles","priority":null,"dateText":null,"warnings":["date_missing","priority_missing"]},"module":"memo","fields":null}</x:v>
      </x:c>
      <x:c r="Q83" s="7" t="str">
        <x:v>{"intent":"single_task","module":"finance","title":"Check tuition instalments","notes":"Do not log an expense","date_text":"null","time_text":"null","priority":"null"}</x:v>
      </x:c>
      <x:c r="R83" s="8" t="n">
        <x:v>1</x:v>
      </x:c>
      <x:c r="S83" s="8" t="n">
        <x:v>0</x:v>
      </x:c>
      <x:c r="T83" s="8" t="n">
        <x:v>1</x:v>
      </x:c>
      <x:c r="U83" s="8" t="n">
        <x:v>1</x:v>
      </x:c>
      <x:c r="V83" s="7" t="str">
        <x:v>cross_module</x:v>
      </x:c>
    </x:row>
    <x:row r="84" ht="88" customHeight="1">
      <x:c r="A84" s="7" t="str">
        <x:v>mh4-health-en-07</x:v>
      </x:c>
      <x:c r="B84" s="7" t="str">
        <x:v>health</x:v>
      </x:c>
      <x:c r="C84" s="7" t="str">
        <x:v>Open Health so I can check 今天的屏幕使用时长.</x:v>
      </x:c>
      <x:c r="D84" s="7" t="str">
        <x:v>draft</x:v>
      </x:c>
      <x:c r="E84" s="7" t="str">
        <x:v>health</x:v>
      </x:c>
      <x:c r="F84" s="7" t="str">
        <x:v>draft</x:v>
      </x:c>
      <x:c r="G84" s="7" t="str">
        <x:v>health</x:v>
      </x:c>
      <x:c r="H84" s="8" t="n">
        <x:v>1</x:v>
      </x:c>
      <x:c r="I84" s="8" t="n">
        <x:v>0</x:v>
      </x:c>
      <x:c r="J84" s="8" t="n">
        <x:v>0</x:v>
      </x:c>
      <x:c r="K84" s="8" t="n">
        <x:v>1</x:v>
      </x:c>
      <x:c r="L84" s="8" t="n">
        <x:v>1</x:v>
      </x:c>
      <x:c r="M84" s="8" t="n">
        <x:v>1</x:v>
      </x:c>
      <x:c r="N84" s="7" t="str"/>
      <x:c r="O84" s="7" t="str">
        <x:v>{"status":"draft","module":"health"}</x:v>
      </x:c>
      <x:c r="P84" s="7" t="str">
        <x:v>{"status":"draft","reason":null,"module":"health","draft":null,"fields":{"id":"cbadb7a8-e31c-4e48-8053-9ea879cc121e","title":"查看手机使用情况","notes":"","date":"2026-10-06","time":null,"amount":null,"kind":null,"category":null,"account":null,"timezone":"America/Los_Angeles"}}</x:v>
      </x:c>
      <x:c r="Q84" s="7" t="str">
        <x:v>{"intent":"single_task","module":"health","title":"查看屏幕使用时长","notes":""}</x:v>
      </x:c>
      <x:c r="R84" s="8" t="n">
        <x:v>1</x:v>
      </x:c>
      <x:c r="S84" s="8" t="n">
        <x:v>1</x:v>
      </x:c>
      <x:c r="T84" s="8" t="n">
        <x:v>0</x:v>
      </x:c>
      <x:c r="U84" s="8" t="n">
        <x:v>0</x:v>
      </x:c>
      <x:c r="V84" s="7" t="str">
        <x:v>mixed_language</x:v>
      </x:c>
    </x:row>
    <x:row r="85" ht="88" customHeight="1">
      <x:c r="A85" s="7" t="str">
        <x:v>mh4-schedule-en-06</x:v>
      </x:c>
      <x:c r="B85" s="7" t="str">
        <x:v>schedule</x:v>
      </x:c>
      <x:c r="C85" s="7" t="str">
        <x:v>Book a calendar slot for a bike fitting on 2026-11-17 at 3pm.</x:v>
      </x:c>
      <x:c r="D85" s="7" t="str">
        <x:v>draft</x:v>
      </x:c>
      <x:c r="E85" s="7" t="str">
        <x:v>schedule</x:v>
      </x:c>
      <x:c r="F85" s="7" t="str">
        <x:v>draft</x:v>
      </x:c>
      <x:c r="G85" s="7" t="str">
        <x:v>schedule</x:v>
      </x:c>
      <x:c r="H85" s="8" t="n">
        <x:v>1</x:v>
      </x:c>
      <x:c r="I85" s="8" t="n">
        <x:v>2</x:v>
      </x:c>
      <x:c r="J85" s="8" t="n">
        <x:v>2</x:v>
      </x:c>
      <x:c r="K85" s="8" t="n">
        <x:v>1</x:v>
      </x:c>
      <x:c r="L85" s="8" t="n">
        <x:v>1</x:v>
      </x:c>
      <x:c r="M85" s="8" t="n">
        <x:v>1</x:v>
      </x:c>
      <x:c r="N85" s="7" t="str"/>
      <x:c r="O85" s="7" t="str">
        <x:v>{"status":"draft","module":"schedule","title":{"containsAny":["bike"]},"date":"2026-11-17","time":"15:00"}</x:v>
      </x:c>
      <x:c r="P85" s="7" t="str">
        <x:v>{"status":"draft","reason":null,"module":"schedule","draft":null,"fields":{"id":"160e5ca9-92f5-46f6-bc9c-6757854688cc","title":"Bike fitting","notes":"","date":"2026-11-17","time":"15:00","amount":null,"kind":null,"category":null,"account":null,"timezone":"America/Los_Angeles"}}</x:v>
      </x:c>
      <x:c r="Q85" s="7" t="str">
        <x:v>{"intent":"single_task","module":"schedule","title":"Bike fitting","notes":"","date_text":"2026-11-17","time_text":"3pm"}</x:v>
      </x:c>
      <x:c r="R85" s="8" t="n">
        <x:v>1</x:v>
      </x:c>
      <x:c r="S85" s="8" t="n">
        <x:v>1</x:v>
      </x:c>
      <x:c r="T85" s="8" t="n">
        <x:v>1</x:v>
      </x:c>
      <x:c r="U85" s="8" t="n">
        <x:v>1</x:v>
      </x:c>
      <x:c r="V85" s="7" t="str">
        <x:v>absolute_date</x:v>
      </x:c>
    </x:row>
    <x:row r="86" ht="88" customHeight="1">
      <x:c r="A86" s="7" t="str">
        <x:v>mh4-health-en-01</x:v>
      </x:c>
      <x:c r="B86" s="7" t="str">
        <x:v>health</x:v>
      </x:c>
      <x:c r="C86" s="7" t="str">
        <x:v>How much of today have I burned on my phone? Take me to the stats.</x:v>
      </x:c>
      <x:c r="D86" s="7" t="str">
        <x:v>draft</x:v>
      </x:c>
      <x:c r="E86" s="7" t="str">
        <x:v>health</x:v>
      </x:c>
      <x:c r="F86" s="7" t="str">
        <x:v>clarification</x:v>
      </x:c>
      <x:c r="G86" s="7" t="str"/>
      <x:c r="H86" s="8" t="n">
        <x:v>0</x:v>
      </x:c>
      <x:c r="I86" s="8" t="n">
        <x:v>0</x:v>
      </x:c>
      <x:c r="J86" s="8" t="n">
        <x:v>0</x:v>
      </x:c>
      <x:c r="K86" s="8" t="n">
        <x:v>0</x:v>
      </x:c>
      <x:c r="L86" s="8" t="n">
        <x:v>1</x:v>
      </x:c>
      <x:c r="M86" s="8" t="n">
        <x:v>0</x:v>
      </x:c>
      <x:c r="N86" s="7" t="str">
        <x:v>status, module</x:v>
      </x:c>
      <x:c r="O86" s="7" t="str">
        <x:v>{"status":"draft","module":"health"}</x:v>
      </x:c>
      <x:c r="P86" s="7" t="str">
        <x:v>{"status":"clarification","reason":"health_unsupported","module":null,"draft":null,"fields":null}</x:v>
      </x:c>
      <x:c r="Q86" s="7" t="str">
        <x:v>{"intent":"single_task","module":"health","title":"查看手机使用时长","notes":""}</x:v>
      </x:c>
      <x:c r="R86" s="8" t="n">
        <x:v>1</x:v>
      </x:c>
      <x:c r="S86" s="8" t="n">
        <x:v>1</x:v>
      </x:c>
      <x:c r="T86" s="8" t="n">
        <x:v>0</x:v>
      </x:c>
      <x:c r="U86" s="8" t="n">
        <x:v>0</x:v>
      </x:c>
      <x:c r="V86" s="7" t="str">
        <x:v>colloquial</x:v>
      </x:c>
    </x:row>
    <x:row r="87" ht="88" customHeight="1">
      <x:c r="A87" s="7" t="str">
        <x:v>mh4-schedule-en-20</x:v>
      </x:c>
      <x:c r="B87" s="7" t="str">
        <x:v>schedule</x:v>
      </x:c>
      <x:c r="C87" s="7" t="str">
        <x:v>Tomorrow at noon we have a welcome lunch; put it on the calendar.</x:v>
      </x:c>
      <x:c r="D87" s="7" t="str">
        <x:v>draft</x:v>
      </x:c>
      <x:c r="E87" s="7" t="str">
        <x:v>schedule</x:v>
      </x:c>
      <x:c r="F87" s="7" t="str">
        <x:v>draft</x:v>
      </x:c>
      <x:c r="G87" s="7" t="str">
        <x:v>schedule</x:v>
      </x:c>
      <x:c r="H87" s="8" t="n">
        <x:v>1</x:v>
      </x:c>
      <x:c r="I87" s="8" t="n">
        <x:v>2</x:v>
      </x:c>
      <x:c r="J87" s="8" t="n">
        <x:v>2</x:v>
      </x:c>
      <x:c r="K87" s="8" t="n">
        <x:v>0</x:v>
      </x:c>
      <x:c r="L87" s="8" t="n">
        <x:v>1</x:v>
      </x:c>
      <x:c r="M87" s="8" t="n">
        <x:v>0</x:v>
      </x:c>
      <x:c r="N87" s="7" t="str">
        <x:v>time</x:v>
      </x:c>
      <x:c r="O87" s="7" t="str">
        <x:v>{"status":"draft","module":"schedule","title":{"containsAny":["welcome","lunch"]},"date":"2027-09-01","time":"12:00"}</x:v>
      </x:c>
      <x:c r="P87" s="7" t="str">
        <x:v>{"status":"draft","reason":null,"module":"schedule","draft":null,"fields":{"id":"8d029643-3590-4275-9223-55f67f6ca513","title":"Welcome Lunch","notes":"","date":"2027-09-01","time":null,"amount":null,"kind":null,"category":null,"account":null,"timezone":"America/Los_Angeles"}}</x:v>
      </x:c>
      <x:c r="Q87" s="7" t="str">
        <x:v>{"intent":"single_task","module":"schedule","title":"Welcome Lunch","notes":"","date_text":"tomorrow","time_text":"noon","priority":"normal"}</x:v>
      </x:c>
      <x:c r="R87" s="8" t="n">
        <x:v>1</x:v>
      </x:c>
      <x:c r="S87" s="8" t="n">
        <x:v>1</x:v>
      </x:c>
      <x:c r="T87" s="8" t="n">
        <x:v>1</x:v>
      </x:c>
      <x:c r="U87" s="8" t="n">
        <x:v>1</x:v>
      </x:c>
      <x:c r="V87" s="7" t="str">
        <x:v>month_boundary</x:v>
      </x:c>
    </x:row>
    <x:row r="88" ht="90" customHeight="1">
      <x:c r="A88" s="7" t="str">
        <x:v>mh4-memo-en-14</x:v>
      </x:c>
      <x:c r="B88" s="7" t="str">
        <x:v>memo</x:v>
      </x:c>
      <x:c r="C88" s="7" t="str">
        <x:v>Make a task to polish the boots; perhaps Wednesday, perhaps Friday, I have not decided.</x:v>
      </x:c>
      <x:c r="D88" s="7" t="str">
        <x:v>draft</x:v>
      </x:c>
      <x:c r="E88" s="7" t="str">
        <x:v>memo</x:v>
      </x:c>
      <x:c r="F88" s="7" t="str">
        <x:v>draft</x:v>
      </x:c>
      <x:c r="G88" s="7" t="str">
        <x:v>memo</x:v>
      </x:c>
      <x:c r="H88" s="8" t="n">
        <x:v>1</x:v>
      </x:c>
      <x:c r="I88" s="8" t="n">
        <x:v>1</x:v>
      </x:c>
      <x:c r="J88" s="8" t="n">
        <x:v>1</x:v>
      </x:c>
      <x:c r="K88" s="8" t="n">
        <x:v>1</x:v>
      </x:c>
      <x:c r="L88" s="8" t="n">
        <x:v>1</x:v>
      </x:c>
      <x:c r="M88" s="8" t="n">
        <x:v>1</x:v>
      </x:c>
      <x:c r="N88" s="7" t="str"/>
      <x:c r="O88" s="7" t="str">
        <x:v>{"status":"draft","module":"memo","title":{"containsAny":["boot"]},"date":null,"priority":null}</x:v>
      </x:c>
      <x:c r="P88" s="7" t="str">
        <x:v>{"status":"draft","reason":null,"draft":{"id":"bee92e79-7f1f-41bb-8f43-5e351e217cf4","title":"Make a task to polish the boots","notes":"perhaps Wednesday, perhaps Friday","dueDate":null,"timezone":"America/Los_Angeles","priority":null,"dateText":"Wednesday","warnings":["date_needs_review","priority_missing"]},"module":"memo","fields":null}</x:v>
      </x:c>
      <x:c r="Q88" s="7" t="str">
        <x:v>{"intent":"single_task","module":"schedule","title":"Polish boots","notes":"perhaps Wednesday, perhaps Friday","date_text":"Wednesday","time_text":"absent"}</x:v>
      </x:c>
      <x:c r="R88" s="8" t="n">
        <x:v>1</x:v>
      </x:c>
      <x:c r="S88" s="8" t="n">
        <x:v>0</x:v>
      </x:c>
      <x:c r="T88" s="8" t="n">
        <x:v>1</x:v>
      </x:c>
      <x:c r="U88" s="8" t="n">
        <x:v>1</x:v>
      </x:c>
      <x:c r="V88" s="7" t="str">
        <x:v>conflicting_dates</x:v>
      </x:c>
    </x:row>
    <x:row r="89" ht="88" customHeight="1">
      <x:c r="A89" s="7" t="str">
        <x:v>mh4-finance-en-16</x:v>
      </x:c>
      <x:c r="B89" s="7" t="str">
        <x:v>finance</x:v>
      </x:c>
      <x:c r="C89" s="7" t="str">
        <x:v>Tea today cost 11.234 yuan and I used WeChat.</x:v>
      </x:c>
      <x:c r="D89" s="7" t="str">
        <x:v>draft</x:v>
      </x:c>
      <x:c r="E89" s="7" t="str">
        <x:v>finance</x:v>
      </x:c>
      <x:c r="F89" s="7" t="str">
        <x:v>draft</x:v>
      </x:c>
      <x:c r="G89" s="7" t="str">
        <x:v>finance</x:v>
      </x:c>
      <x:c r="H89" s="8" t="n">
        <x:v>1</x:v>
      </x:c>
      <x:c r="I89" s="8" t="n">
        <x:v>6</x:v>
      </x:c>
      <x:c r="J89" s="8" t="n">
        <x:v>6</x:v>
      </x:c>
      <x:c r="K89" s="8" t="n">
        <x:v>1</x:v>
      </x:c>
      <x:c r="L89" s="8" t="n">
        <x:v>1</x:v>
      </x:c>
      <x:c r="M89" s="8" t="n">
        <x:v>1</x:v>
      </x:c>
      <x:c r="N89" s="7" t="str"/>
      <x:c r="O89" s="7" t="str">
        <x:v>{"status":"draft","module":"finance","title":{"containsAny":["tea"]},"amount":null,"kind":"expense","category":"Food &amp; Drinks","account":"WeChat","date":"2026-10-06"}</x:v>
      </x:c>
      <x:c r="P89" s="7" t="str">
        <x:v>{"status":"draft","reason":null,"module":"finance","draft":null,"fields":{"id":"0e9b79c5-4269-4286-b249-9703a3717061","title":"Tea","notes":"","date":"2026-10-06","time":null,"amount":null,"kind":"expense","category":"Food &amp; Drinks","account":"WeChat","timezone":"America/Los_Angeles"}}</x:v>
      </x:c>
      <x:c r="Q89" s="7" t="str">
        <x:v>{"intent":"single_task","module":"finance","title":"Tea","notes":"","date_text":"today","amount":"11.234","kind":"expense","category":"Food &amp; Drinks","account":"WeChat"}</x:v>
      </x:c>
      <x:c r="R89" s="8" t="n">
        <x:v>1</x:v>
      </x:c>
      <x:c r="S89" s="8" t="n">
        <x:v>1</x:v>
      </x:c>
      <x:c r="T89" s="8" t="n">
        <x:v>1</x:v>
      </x:c>
      <x:c r="U89" s="8" t="n">
        <x:v>1</x:v>
      </x:c>
      <x:c r="V89" s="7" t="str">
        <x:v>invalid_precision</x:v>
      </x:c>
    </x:row>
    <x:row r="90" ht="90" customHeight="1">
      <x:c r="A90" s="7" t="str">
        <x:v>mh4-memo-en-24</x:v>
      </x:c>
      <x:c r="B90" s="7" t="str">
        <x:v>memo</x:v>
      </x:c>
      <x:c r="C90" s="7" t="str">
        <x:v>A task to design a savings tracker, please. This is planning work, not an income entry.</x:v>
      </x:c>
      <x:c r="D90" s="7" t="str">
        <x:v>draft</x:v>
      </x:c>
      <x:c r="E90" s="7" t="str">
        <x:v>memo</x:v>
      </x:c>
      <x:c r="F90" s="7" t="str">
        <x:v>draft</x:v>
      </x:c>
      <x:c r="G90" s="7" t="str">
        <x:v>memo</x:v>
      </x:c>
      <x:c r="H90" s="8" t="n">
        <x:v>1</x:v>
      </x:c>
      <x:c r="I90" s="8" t="n">
        <x:v>1</x:v>
      </x:c>
      <x:c r="J90" s="8" t="n">
        <x:v>1</x:v>
      </x:c>
      <x:c r="K90" s="8" t="n">
        <x:v>1</x:v>
      </x:c>
      <x:c r="L90" s="8" t="n">
        <x:v>1</x:v>
      </x:c>
      <x:c r="M90" s="8" t="n">
        <x:v>1</x:v>
      </x:c>
      <x:c r="N90" s="7" t="str"/>
      <x:c r="O90" s="7" t="str">
        <x:v>{"status":"draft","module":"memo","title":{"containsAny":["saving","tracker"]},"date":null,"priority":null}</x:v>
      </x:c>
      <x:c r="P90" s="7" t="str">
        <x:v>{"status":"draft","reason":null,"draft":{"id":"4dd3ccc7-4d27-46f6-807e-72e243ef91e6","title":"A task to design a savings tracker, please","notes":"","dueDate":null,"timezone":"America/Los_Angeles","priority":null,"dateText":"planning work","warnings":["date_needs_review","priority_missing"]},"module":"memo","fields":null}</x:v>
      </x:c>
      <x:c r="Q90" s="7" t="str">
        <x:v>{"intent":"single_task","module":"finance","title":"Savings Tracker","notes":"","date_text":"planning work","priority":"high"}</x:v>
      </x:c>
      <x:c r="R90" s="8" t="n">
        <x:v>1</x:v>
      </x:c>
      <x:c r="S90" s="8" t="n">
        <x:v>0</x:v>
      </x:c>
      <x:c r="T90" s="8" t="n">
        <x:v>1</x:v>
      </x:c>
      <x:c r="U90" s="8" t="n">
        <x:v>1</x:v>
      </x:c>
      <x:c r="V90" s="7" t="str">
        <x:v>cross_module</x:v>
      </x:c>
    </x:row>
    <x:row r="91" ht="88" customHeight="1">
      <x:c r="A91" s="7" t="str">
        <x:v>mh4-schedule-en-18</x:v>
      </x:c>
      <x:c r="B91" s="7" t="str">
        <x:v>schedule</x:v>
      </x:c>
      <x:c r="C91" s="7" t="str">
        <x:v>Log a past calendar event: this Monday at 10am, car detailing appointment.</x:v>
      </x:c>
      <x:c r="D91" s="7" t="str">
        <x:v>draft</x:v>
      </x:c>
      <x:c r="E91" s="7" t="str">
        <x:v>schedule</x:v>
      </x:c>
      <x:c r="F91" s="7" t="str">
        <x:v>draft</x:v>
      </x:c>
      <x:c r="G91" s="7" t="str">
        <x:v>schedule</x:v>
      </x:c>
      <x:c r="H91" s="8" t="n">
        <x:v>1</x:v>
      </x:c>
      <x:c r="I91" s="8" t="n">
        <x:v>2</x:v>
      </x:c>
      <x:c r="J91" s="8" t="n">
        <x:v>2</x:v>
      </x:c>
      <x:c r="K91" s="8" t="n">
        <x:v>1</x:v>
      </x:c>
      <x:c r="L91" s="8" t="n">
        <x:v>1</x:v>
      </x:c>
      <x:c r="M91" s="8" t="n">
        <x:v>1</x:v>
      </x:c>
      <x:c r="N91" s="7" t="str"/>
      <x:c r="O91" s="7" t="str">
        <x:v>{"status":"draft","module":"schedule","title":{"containsAny":["car","detailing"]},"date":"2026-10-05","time":"10:00"}</x:v>
      </x:c>
      <x:c r="P91" s="7" t="str">
        <x:v>{"status":"draft","reason":null,"module":"schedule","draft":null,"fields":{"id":"5b555154-43cf-4345-bade-3a694e5d25cc","title":"Car Detailing Appointment","notes":"","date":"2026-10-05","time":"10:00","amount":null,"kind":null,"category":null,"account":null,"timezone":"America/Los_Angeles"}}</x:v>
      </x:c>
      <x:c r="Q91" s="7" t="str">
        <x:v>{"intent":"single_task","module":"schedule","title":"Car Detailing Appointment","notes":"","date_text":"this Monday","time_text":"10am"}</x:v>
      </x:c>
      <x:c r="R91" s="8" t="n">
        <x:v>1</x:v>
      </x:c>
      <x:c r="S91" s="8" t="n">
        <x:v>1</x:v>
      </x:c>
      <x:c r="T91" s="8" t="n">
        <x:v>1</x:v>
      </x:c>
      <x:c r="U91" s="8" t="n">
        <x:v>1</x:v>
      </x:c>
      <x:c r="V91" s="7" t="str">
        <x:v>past_event</x:v>
      </x:c>
    </x:row>
    <x:row r="92" ht="88" customHeight="1">
      <x:c r="A92" s="7" t="str">
        <x:v>mh4-schedule-en-26</x:v>
      </x:c>
      <x:c r="B92" s="7" t="str">
        <x:v>schedule</x:v>
      </x:c>
      <x:c r="C92" s="7" t="str">
        <x:v>Move my existing driving lesson from Thursday to Friday.</x:v>
      </x:c>
      <x:c r="D92" s="7" t="str">
        <x:v>clarification</x:v>
      </x:c>
      <x:c r="E92" s="7" t="str"/>
      <x:c r="F92" s="7" t="str">
        <x:v>clarification</x:v>
      </x:c>
      <x:c r="G92" s="7" t="str"/>
      <x:c r="H92" s="8" t="n">
        <x:v>1</x:v>
      </x:c>
      <x:c r="I92" s="8" t="n">
        <x:v>0</x:v>
      </x:c>
      <x:c r="J92" s="8" t="n">
        <x:v>0</x:v>
      </x:c>
      <x:c r="K92" s="8" t="n">
        <x:v>1</x:v>
      </x:c>
      <x:c r="L92" s="8" t="n">
        <x:v>0</x:v>
      </x:c>
      <x:c r="M92" s="8" t="n">
        <x:v>0</x:v>
      </x:c>
      <x:c r="N92" s="7" t="str"/>
      <x:c r="O92" s="7" t="str">
        <x:v>{"status":"clarification","module":null}</x:v>
      </x:c>
      <x:c r="P92" s="7" t="str">
        <x:v>{"status":"clarification","reason":"unsupported_action","module":null,"draft":null,"fields":null}</x:v>
      </x:c>
      <x:c r="Q92" s="7" t="str"/>
      <x:c r="R92" s="8" t="n">
        <x:v>0</x:v>
      </x:c>
      <x:c r="S92" s="8"/>
      <x:c r="T92" s="8" t="n">
        <x:v>0</x:v>
      </x:c>
      <x:c r="U92" s="8" t="n">
        <x:v>0</x:v>
      </x:c>
      <x:c r="V92" s="7" t="str">
        <x:v>mutation</x:v>
      </x:c>
    </x:row>
    <x:row r="93" ht="90" customHeight="1">
      <x:c r="A93" s="7" t="str">
        <x:v>mh4-schedule-en-12</x:v>
      </x:c>
      <x:c r="B93" s="7" t="str">
        <x:v>schedule</x:v>
      </x:c>
      <x:c r="C93" s="7" t="str">
        <x:v>Not a task please: calendar event for rowing practice on Saturday at 8am.</x:v>
      </x:c>
      <x:c r="D93" s="7" t="str">
        <x:v>draft</x:v>
      </x:c>
      <x:c r="E93" s="7" t="str">
        <x:v>schedule</x:v>
      </x:c>
      <x:c r="F93" s="7" t="str">
        <x:v>draft</x:v>
      </x:c>
      <x:c r="G93" s="7" t="str">
        <x:v>memo</x:v>
      </x:c>
      <x:c r="H93" s="8" t="n">
        <x:v>0</x:v>
      </x:c>
      <x:c r="I93" s="8" t="n">
        <x:v>1</x:v>
      </x:c>
      <x:c r="J93" s="8" t="n">
        <x:v>2</x:v>
      </x:c>
      <x:c r="K93" s="8" t="n">
        <x:v>0</x:v>
      </x:c>
      <x:c r="L93" s="8" t="n">
        <x:v>1</x:v>
      </x:c>
      <x:c r="M93" s="8" t="n">
        <x:v>0</x:v>
      </x:c>
      <x:c r="N93" s="7" t="str">
        <x:v>module, date, time</x:v>
      </x:c>
      <x:c r="O93" s="7" t="str">
        <x:v>{"status":"draft","module":"schedule","title":{"containsAny":["rowing"]},"date":"2026-10-10","time":"08:00"}</x:v>
      </x:c>
      <x:c r="P93" s="7" t="str">
        <x:v>{"status":"draft","reason":null,"draft":{"id":"32c35997-feb2-4d67-8fcb-0c180a1bda12","title":"Not a task please: calendar event for rowing practice on Saturday at 8am.","notes":"","dueDate":null,"timezone":"America/Los_Angeles","priority":null,"dateText":"Saturday","warnings":["date_needs_review","priority_missing"]},"module":"memo","fields":null}</x:v>
      </x:c>
      <x:c r="Q93" s="7" t="str">
        <x:v>{"intent":"single_task","module":"schedule","title":"Rowing Practice","notes":"","date_text":"Saturday","time_text":"8am"}</x:v>
      </x:c>
      <x:c r="R93" s="8" t="n">
        <x:v>1</x:v>
      </x:c>
      <x:c r="S93" s="8" t="n">
        <x:v>1</x:v>
      </x:c>
      <x:c r="T93" s="8" t="n">
        <x:v>1</x:v>
      </x:c>
      <x:c r="U93" s="8" t="n">
        <x:v>0</x:v>
      </x:c>
      <x:c r="V93" s="7" t="str">
        <x:v>negation</x:v>
      </x:c>
    </x:row>
    <x:row r="94" ht="88" customHeight="1">
      <x:c r="A94" s="7" t="str">
        <x:v>mh4-health-en-30</x:v>
      </x:c>
      <x:c r="B94" s="7" t="str">
        <x:v>health</x:v>
      </x:c>
      <x:c r="C94" s="7" t="str">
        <x:v>Erase all app usage history stored by Android.</x:v>
      </x:c>
      <x:c r="D94" s="7" t="str">
        <x:v>clarification</x:v>
      </x:c>
      <x:c r="E94" s="7" t="str"/>
      <x:c r="F94" s="7" t="str">
        <x:v>clarification</x:v>
      </x:c>
      <x:c r="G94" s="7" t="str"/>
      <x:c r="H94" s="8" t="n">
        <x:v>1</x:v>
      </x:c>
      <x:c r="I94" s="8" t="n">
        <x:v>0</x:v>
      </x:c>
      <x:c r="J94" s="8" t="n">
        <x:v>0</x:v>
      </x:c>
      <x:c r="K94" s="8" t="n">
        <x:v>1</x:v>
      </x:c>
      <x:c r="L94" s="8" t="n">
        <x:v>0</x:v>
      </x:c>
      <x:c r="M94" s="8" t="n">
        <x:v>0</x:v>
      </x:c>
      <x:c r="N94" s="7" t="str"/>
      <x:c r="O94" s="7" t="str">
        <x:v>{"status":"clarification","module":null}</x:v>
      </x:c>
      <x:c r="P94" s="7" t="str">
        <x:v>{"status":"clarification","reason":"unsupported_action","module":null,"draft":null,"fields":null}</x:v>
      </x:c>
      <x:c r="Q94" s="7" t="str"/>
      <x:c r="R94" s="8" t="n">
        <x:v>0</x:v>
      </x:c>
      <x:c r="S94" s="8"/>
      <x:c r="T94" s="8" t="n">
        <x:v>0</x:v>
      </x:c>
      <x:c r="U94" s="8" t="n">
        <x:v>0</x:v>
      </x:c>
      <x:c r="V94" s="7" t="str">
        <x:v>mutation</x:v>
      </x:c>
    </x:row>
    <x:row r="95" ht="88" customHeight="1">
      <x:c r="A95" s="7" t="str">
        <x:v>mh4-health-en-24</x:v>
      </x:c>
      <x:c r="B95" s="7" t="str">
        <x:v>health</x:v>
      </x:c>
      <x:c r="C95" s="7" t="str">
        <x:v>Tell me the total screen time I had yesterday.</x:v>
      </x:c>
      <x:c r="D95" s="7" t="str">
        <x:v>clarification</x:v>
      </x:c>
      <x:c r="E95" s="7" t="str"/>
      <x:c r="F95" s="7" t="str">
        <x:v>clarification</x:v>
      </x:c>
      <x:c r="G95" s="7" t="str"/>
      <x:c r="H95" s="8" t="n">
        <x:v>1</x:v>
      </x:c>
      <x:c r="I95" s="8" t="n">
        <x:v>0</x:v>
      </x:c>
      <x:c r="J95" s="8" t="n">
        <x:v>0</x:v>
      </x:c>
      <x:c r="K95" s="8" t="n">
        <x:v>1</x:v>
      </x:c>
      <x:c r="L95" s="8" t="n">
        <x:v>0</x:v>
      </x:c>
      <x:c r="M95" s="8" t="n">
        <x:v>0</x:v>
      </x:c>
      <x:c r="N95" s="7" t="str"/>
      <x:c r="O95" s="7" t="str">
        <x:v>{"status":"clarification","module":null}</x:v>
      </x:c>
      <x:c r="P95" s="7" t="str">
        <x:v>{"status":"clarification","reason":"health_today_only","module":null,"draft":null,"fields":null}</x:v>
      </x:c>
      <x:c r="Q95" s="7" t="str">
        <x:v>{"intent":"single_task","module":"health","title":"Screen Time","notes":"Yesterday","time_text":"yesterday"}</x:v>
      </x:c>
      <x:c r="R95" s="8" t="n">
        <x:v>1</x:v>
      </x:c>
      <x:c r="S95" s="8" t="n">
        <x:v>0</x:v>
      </x:c>
      <x:c r="T95" s="8" t="n">
        <x:v>0</x:v>
      </x:c>
      <x:c r="U95" s="8" t="n">
        <x:v>0</x:v>
      </x:c>
      <x:c r="V95" s="7" t="str">
        <x:v>historical_usage</x:v>
      </x:c>
    </x:row>
    <x:row r="96" ht="90" customHeight="1">
      <x:c r="A96" s="7" t="str">
        <x:v>mh4-finance-en-02</x:v>
      </x:c>
      <x:c r="B96" s="7" t="str">
        <x:v>finance</x:v>
      </x:c>
      <x:c r="C96" s="7" t="str">
        <x:v>Log the 5-yuan bus fare I paid using WeChat today.</x:v>
      </x:c>
      <x:c r="D96" s="7" t="str">
        <x:v>draft</x:v>
      </x:c>
      <x:c r="E96" s="7" t="str">
        <x:v>finance</x:v>
      </x:c>
      <x:c r="F96" s="7" t="str">
        <x:v>draft</x:v>
      </x:c>
      <x:c r="G96" s="7" t="str">
        <x:v>finance</x:v>
      </x:c>
      <x:c r="H96" s="8" t="n">
        <x:v>1</x:v>
      </x:c>
      <x:c r="I96" s="8" t="n">
        <x:v>6</x:v>
      </x:c>
      <x:c r="J96" s="8" t="n">
        <x:v>6</x:v>
      </x:c>
      <x:c r="K96" s="8" t="n">
        <x:v>1</x:v>
      </x:c>
      <x:c r="L96" s="8" t="n">
        <x:v>1</x:v>
      </x:c>
      <x:c r="M96" s="8" t="n">
        <x:v>1</x:v>
      </x:c>
      <x:c r="N96" s="7" t="str"/>
      <x:c r="O96" s="7" t="str">
        <x:v>{"status":"draft","module":"finance","title":{"containsAny":["bus"]},"amount":"5","kind":"expense","category":"Transport","account":"WeChat","date":"2026-10-06"}</x:v>
      </x:c>
      <x:c r="P96" s="7" t="str">
        <x:v>{"status":"draft","reason":null,"module":"finance","draft":null,"fields":{"id":"e010977e-9be6-427c-9775-69484b19ade5","title":"Bus Fare","notes":"5-yuan bus fare","date":"2026-10-06","time":null,"amount":"5","kind":"expense","category":"Transport","account":"WeChat","timezone":"America/Los_Angeles"}}</x:v>
      </x:c>
      <x:c r="Q96" s="7" t="str">
        <x:v>{"intent":"single_task","module":"finance","title":"Bus Fare","notes":"5-yuan bus fare","date_text":"today","amount":"5","kind":"expense","category":"Transport","account":"WeChat"}</x:v>
      </x:c>
      <x:c r="R96" s="8" t="n">
        <x:v>1</x:v>
      </x:c>
      <x:c r="S96" s="8" t="n">
        <x:v>1</x:v>
      </x:c>
      <x:c r="T96" s="8" t="n">
        <x:v>1</x:v>
      </x:c>
      <x:c r="U96" s="8" t="n">
        <x:v>1</x:v>
      </x:c>
      <x:c r="V96" s="7" t="str">
        <x:v>complete</x:v>
      </x:c>
    </x:row>
    <x:row r="97" ht="90" customHeight="1">
      <x:c r="A97" s="7" t="str">
        <x:v>mh4-memo-en-11</x:v>
      </x:c>
      <x:c r="B97" s="7" t="str">
        <x:v>memo</x:v>
      </x:c>
      <x:c r="C97" s="7" t="str">
        <x:v>This Sunday is the deadline for scanning the old postcards. Make a task.</x:v>
      </x:c>
      <x:c r="D97" s="7" t="str">
        <x:v>draft</x:v>
      </x:c>
      <x:c r="E97" s="7" t="str">
        <x:v>memo</x:v>
      </x:c>
      <x:c r="F97" s="7" t="str">
        <x:v>draft</x:v>
      </x:c>
      <x:c r="G97" s="7" t="str">
        <x:v>memo</x:v>
      </x:c>
      <x:c r="H97" s="8" t="n">
        <x:v>1</x:v>
      </x:c>
      <x:c r="I97" s="8" t="n">
        <x:v>1</x:v>
      </x:c>
      <x:c r="J97" s="8" t="n">
        <x:v>1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{"status":"draft","module":"memo","title":{"containsAny":["postcard"]},"date":"2026-10-11","priority":null}</x:v>
      </x:c>
      <x:c r="P97" s="7" t="str">
        <x:v>{"status":"draft","reason":null,"draft":{"id":"01ace8df-aaaf-4f55-8e02-72973bb66de7","title":"This Sunday is the deadline for scanning the old postcards","notes":"Sunday deadline","dueDate":"2026-10-11","timezone":"America/Los_Angeles","priority":null,"dateText":"This Sunday","warnings":["priority_missing"]},"module":"memo","fields":null}</x:v>
      </x:c>
      <x:c r="Q97" s="7" t="str">
        <x:v>{"intent":"single_task","module":"schedule","title":"Scan old postcards","notes":"Sunday deadline","date_text":"this Sunday","time_text":"absent"}</x:v>
      </x:c>
      <x:c r="R97" s="8" t="n">
        <x:v>1</x:v>
      </x:c>
      <x:c r="S97" s="8" t="n">
        <x:v>0</x:v>
      </x:c>
      <x:c r="T97" s="8" t="n">
        <x:v>1</x:v>
      </x:c>
      <x:c r="U97" s="8" t="n">
        <x:v>1</x:v>
      </x:c>
      <x:c r="V97" s="7" t="str">
        <x:v>calendar_week</x:v>
      </x:c>
    </x:row>
    <x:row r="98" ht="88" customHeight="1">
      <x:c r="A98" s="7" t="str">
        <x:v>mh4-memo-en-29</x:v>
      </x:c>
      <x:c r="B98" s="7" t="str">
        <x:v>memo</x:v>
      </x:c>
      <x:c r="C98" s="7" t="str">
        <x:v>Send a text message to the plumber telling him the tap still leaks.</x:v>
      </x:c>
      <x:c r="D98" s="7" t="str">
        <x:v>clarification</x:v>
      </x:c>
      <x:c r="E98" s="7" t="str"/>
      <x:c r="F98" s="7" t="str">
        <x:v>clarification</x:v>
      </x:c>
      <x:c r="G98" s="7" t="str"/>
      <x:c r="H98" s="8" t="n">
        <x:v>1</x:v>
      </x:c>
      <x:c r="I98" s="8" t="n">
        <x:v>0</x:v>
      </x:c>
      <x:c r="J98" s="8" t="n">
        <x:v>0</x:v>
      </x:c>
      <x:c r="K98" s="8" t="n">
        <x:v>1</x:v>
      </x:c>
      <x:c r="L98" s="8" t="n">
        <x:v>0</x:v>
      </x:c>
      <x:c r="M98" s="8" t="n">
        <x:v>0</x:v>
      </x:c>
      <x:c r="N98" s="7" t="str"/>
      <x:c r="O98" s="7" t="str">
        <x:v>{"status":"clarification","module":null}</x:v>
      </x:c>
      <x:c r="P98" s="7" t="str">
        <x:v>{"status":"clarification","reason":"unsupported_action","module":null,"draft":null,"fields":null}</x:v>
      </x:c>
      <x:c r="Q98" s="7" t="str"/>
      <x:c r="R98" s="8" t="n">
        <x:v>0</x:v>
      </x:c>
      <x:c r="S98" s="8"/>
      <x:c r="T98" s="8" t="n">
        <x:v>0</x:v>
      </x:c>
      <x:c r="U98" s="8" t="n">
        <x:v>0</x:v>
      </x:c>
      <x:c r="V98" s="7" t="str">
        <x:v>external_action</x:v>
      </x:c>
    </x:row>
    <x:row r="99" ht="90" customHeight="1">
      <x:c r="A99" s="7" t="str">
        <x:v>mh4-finance-en-10</x:v>
      </x:c>
      <x:c r="B99" s="7" t="str">
        <x:v>finance</x:v>
      </x:c>
      <x:c r="C99" s="7" t="str">
        <x:v>I purchased a croissant today with cash, but the receipt went through the wash and I forgot the cost.</x:v>
      </x:c>
      <x:c r="D99" s="7" t="str">
        <x:v>draft</x:v>
      </x:c>
      <x:c r="E99" s="7" t="str">
        <x:v>finance</x:v>
      </x:c>
      <x:c r="F99" s="7" t="str">
        <x:v>draft</x:v>
      </x:c>
      <x:c r="G99" s="7" t="str">
        <x:v>finance</x:v>
      </x:c>
      <x:c r="H99" s="8" t="n">
        <x:v>1</x:v>
      </x:c>
      <x:c r="I99" s="8" t="n">
        <x:v>6</x:v>
      </x:c>
      <x:c r="J99" s="8" t="n">
        <x:v>6</x:v>
      </x:c>
      <x:c r="K99" s="8" t="n">
        <x:v>1</x:v>
      </x:c>
      <x:c r="L99" s="8" t="n">
        <x:v>1</x:v>
      </x:c>
      <x:c r="M99" s="8" t="n">
        <x:v>1</x:v>
      </x:c>
      <x:c r="N99" s="7" t="str"/>
      <x:c r="O99" s="7" t="str">
        <x:v>{"status":"draft","module":"finance","title":{"containsAny":["croissant"]},"amount":null,"kind":"expense","category":"Food &amp; Drinks","account":"Cash","date":"2026-10-06"}</x:v>
      </x:c>
      <x:c r="P99" s="7" t="str">
        <x:v>{"status":"draft","reason":null,"module":"finance","draft":null,"fields":{"id":"aa343e9f-5493-4ca8-b247-1091ed41b0f7","title":"Croissant","notes":"Receipt forgotten","date":"2026-10-06","time":null,"amount":null,"kind":"expense","category":"Food &amp; Drinks","account":"Cash","timezone":"America/Los_Angeles"}}</x:v>
      </x:c>
      <x:c r="Q99" s="7" t="str">
        <x:v>{"intent":"single_task","module":"finance","title":"Croissant","notes":"Receipt forgotten","date_text":"today","amount":"null","kind":"expense","category":"Food &amp; Drinks","account":"Cash"}</x:v>
      </x:c>
      <x:c r="R99" s="8" t="n">
        <x:v>1</x:v>
      </x:c>
      <x:c r="S99" s="8" t="n">
        <x:v>1</x:v>
      </x:c>
      <x:c r="T99" s="8" t="n">
        <x:v>1</x:v>
      </x:c>
      <x:c r="U99" s="8" t="n">
        <x:v>1</x:v>
      </x:c>
      <x:c r="V99" s="7" t="str">
        <x:v>missing_amount</x:v>
      </x:c>
    </x:row>
    <x:row r="100" ht="90" customHeight="1">
      <x:c r="A100" s="7" t="str">
        <x:v>mh4-memo-en-02</x:v>
      </x:c>
      <x:c r="B100" s="7" t="str">
        <x:v>memo</x:v>
      </x:c>
      <x:c r="C100" s="7" t="str">
        <x:v>Tomorrow I need to check the radiator valve. Make it high priority.</x:v>
      </x:c>
      <x:c r="D100" s="7" t="str">
        <x:v>draft</x:v>
      </x:c>
      <x:c r="E100" s="7" t="str">
        <x:v>memo</x:v>
      </x:c>
      <x:c r="F100" s="7" t="str">
        <x:v>draft</x:v>
      </x:c>
      <x:c r="G100" s="7" t="str">
        <x:v>memo</x:v>
      </x:c>
      <x:c r="H100" s="8" t="n">
        <x:v>1</x:v>
      </x:c>
      <x:c r="I100" s="8" t="n">
        <x:v>1</x:v>
      </x:c>
      <x:c r="J100" s="8" t="n">
        <x:v>1</x:v>
      </x:c>
      <x:c r="K100" s="8" t="n">
        <x:v>1</x:v>
      </x:c>
      <x:c r="L100" s="8" t="n">
        <x:v>1</x:v>
      </x:c>
      <x:c r="M100" s="8" t="n">
        <x:v>1</x:v>
      </x:c>
      <x:c r="N100" s="7" t="str"/>
      <x:c r="O100" s="7" t="str">
        <x:v>{"status":"draft","module":"memo","title":{"containsAny":["radiator","valve"]},"date":"2026-10-07","priority":"important"}</x:v>
      </x:c>
      <x:c r="P100" s="7" t="str">
        <x:v>{"status":"draft","reason":null,"draft":{"id":"f166f9a2-2e8e-4d79-86f6-b36a353e0b1a","title":"Tomorrow I need to check the radiator valve","notes":"high priority","dueDate":"2026-10-07","timezone":"America/Los_Angeles","priority":"important","dateText":"Tomorrow","warnings":[]},"module":"memo","fields":null}</x:v>
      </x:c>
      <x:c r="Q100" s="7" t="str">
        <x:v>{"intent":"single_task","module":"schedule","title":"Check radiator valve","notes":"high priority","date_text":"tomorrow","time_text":"absent"}</x:v>
      </x:c>
      <x:c r="R100" s="8" t="n">
        <x:v>1</x:v>
      </x:c>
      <x:c r="S100" s="8" t="n">
        <x:v>0</x:v>
      </x:c>
      <x:c r="T100" s="8" t="n">
        <x:v>1</x:v>
      </x:c>
      <x:c r="U100" s="8" t="n">
        <x:v>1</x:v>
      </x:c>
      <x:c r="V100" s="7" t="str">
        <x:v>complete</x:v>
      </x:c>
    </x:row>
    <x:row r="101" ht="90" customHeight="1">
      <x:c r="A101" s="7" t="str">
        <x:v>mh4-memo-en-17</x:v>
      </x:c>
      <x:c r="B101" s="7" t="str">
        <x:v>memo</x:v>
      </x:c>
      <x:c r="C101" s="7" t="str">
        <x:v>Create a task titled "Quiet corner" about rearranging the study desk.</x:v>
      </x:c>
      <x:c r="D101" s="7" t="str">
        <x:v>draft</x:v>
      </x:c>
      <x:c r="E101" s="7" t="str">
        <x:v>memo</x:v>
      </x:c>
      <x:c r="F101" s="7" t="str">
        <x:v>draft</x:v>
      </x:c>
      <x:c r="G101" s="7" t="str">
        <x:v>memo</x:v>
      </x:c>
      <x:c r="H101" s="8" t="n">
        <x:v>1</x:v>
      </x:c>
      <x:c r="I101" s="8" t="n">
        <x:v>1</x:v>
      </x:c>
      <x:c r="J101" s="8" t="n">
        <x:v>1</x:v>
      </x:c>
      <x:c r="K101" s="8" t="n">
        <x:v>1</x:v>
      </x:c>
      <x:c r="L101" s="8" t="n">
        <x:v>1</x:v>
      </x:c>
      <x:c r="M101" s="8" t="n">
        <x:v>1</x:v>
      </x:c>
      <x:c r="N101" s="7" t="str"/>
      <x:c r="O101" s="7" t="str">
        <x:v>{"status":"draft","module":"memo","title":{"containsAny":["Quiet corner"]},"date":null,"priority":null}</x:v>
      </x:c>
      <x:c r="P101" s="7" t="str">
        <x:v>{"status":"draft","reason":null,"draft":{"id":"749c862b-dcb6-4442-95c9-35ce469425b9","title":"Create a task titled \"Quiet corner\" about rearranging the study desk.","notes":"rearranging the study desk","dueDate":null,"timezone":"America/Los_Angeles","priority":null,"dateText":null,"warnings":["date_missing","priority_missing"]},"module":"memo","fields":null}</x:v>
      </x:c>
      <x:c r="Q101" s="7" t="str">
        <x:v>{"intent":"single_task","module":"schedule","title":"Quiet corner","notes":"rearranging the study desk","date_text":"null","time_text":"null"}</x:v>
      </x:c>
      <x:c r="R101" s="8" t="n">
        <x:v>1</x:v>
      </x:c>
      <x:c r="S101" s="8" t="n">
        <x:v>0</x:v>
      </x:c>
      <x:c r="T101" s="8" t="n">
        <x:v>1</x:v>
      </x:c>
      <x:c r="U101" s="8" t="n">
        <x:v>1</x:v>
      </x:c>
      <x:c r="V101" s="7" t="str">
        <x:v>explicit_title</x:v>
      </x:c>
    </x:row>
    <x:row r="102" ht="88" customHeight="1">
      <x:c r="A102" s="7" t="str">
        <x:v>mh4-finance-en-22</x:v>
      </x:c>
      <x:c r="B102" s="7" t="str">
        <x:v>finance</x:v>
      </x:c>
      <x:c r="C102" s="7" t="str">
        <x:v>Bought bred, I mean bread, today for 8 yuan using Alipay.</x:v>
      </x:c>
      <x:c r="D102" s="7" t="str">
        <x:v>draft</x:v>
      </x:c>
      <x:c r="E102" s="7" t="str">
        <x:v>finance</x:v>
      </x:c>
      <x:c r="F102" s="7" t="str">
        <x:v>draft</x:v>
      </x:c>
      <x:c r="G102" s="7" t="str">
        <x:v>finance</x:v>
      </x:c>
      <x:c r="H102" s="8" t="n">
        <x:v>1</x:v>
      </x:c>
      <x:c r="I102" s="8" t="n">
        <x:v>6</x:v>
      </x:c>
      <x:c r="J102" s="8" t="n">
        <x:v>6</x:v>
      </x:c>
      <x:c r="K102" s="8" t="n">
        <x:v>1</x:v>
      </x:c>
      <x:c r="L102" s="8" t="n">
        <x:v>1</x:v>
      </x:c>
      <x:c r="M102" s="8" t="n">
        <x:v>1</x:v>
      </x:c>
      <x:c r="N102" s="7" t="str"/>
      <x:c r="O102" s="7" t="str">
        <x:v>{"status":"draft","module":"finance","title":{"containsAny":["bread","bred"]},"amount":"8","kind":"expense","category":"Food &amp; Drinks","account":"Alipay","date":"2026-10-06"}</x:v>
      </x:c>
      <x:c r="P102" s="7" t="str">
        <x:v>{"status":"draft","reason":null,"module":"finance","draft":null,"fields":{"id":"d809f74a-f9da-4441-b98b-6cc1d2aac5f5","title":"Bread","notes":"","date":"2026-10-06","time":null,"amount":"8","kind":"expense","category":"Food &amp; Drinks","account":"Alipay","timezone":"America/Los_Angeles"}}</x:v>
      </x:c>
      <x:c r="Q102" s="7" t="str">
        <x:v>{"intent":"single_task","module":"finance","title":"Bread","notes":"","date_text":"today","amount":"8","kind":"expense","category":"Shopping","account":"Alipay"}</x:v>
      </x:c>
      <x:c r="R102" s="8" t="n">
        <x:v>1</x:v>
      </x:c>
      <x:c r="S102" s="8" t="n">
        <x:v>1</x:v>
      </x:c>
      <x:c r="T102" s="8" t="n">
        <x:v>1</x:v>
      </x:c>
      <x:c r="U102" s="8" t="n">
        <x:v>1</x:v>
      </x:c>
      <x:c r="V102" s="7" t="str">
        <x:v>typo</x:v>
      </x:c>
    </x:row>
    <x:row r="103" ht="88" customHeight="1">
      <x:c r="A103" s="7" t="str">
        <x:v>mh4-schedule-en-21</x:v>
      </x:c>
      <x:c r="B103" s="7" t="str">
        <x:v>schedule</x:v>
      </x:c>
      <x:c r="C103" s="7" t="str">
        <x:v>Schedule my remote thesis defence for today at 9pm.</x:v>
      </x:c>
      <x:c r="D103" s="7" t="str">
        <x:v>draft</x:v>
      </x:c>
      <x:c r="E103" s="7" t="str">
        <x:v>schedule</x:v>
      </x:c>
      <x:c r="F103" s="7" t="str">
        <x:v>draft</x:v>
      </x:c>
      <x:c r="G103" s="7" t="str">
        <x:v>schedule</x:v>
      </x:c>
      <x:c r="H103" s="8" t="n">
        <x:v>1</x:v>
      </x:c>
      <x:c r="I103" s="8" t="n">
        <x:v>2</x:v>
      </x:c>
      <x:c r="J103" s="8" t="n">
        <x:v>2</x:v>
      </x:c>
      <x:c r="K103" s="8" t="n">
        <x:v>1</x:v>
      </x:c>
      <x:c r="L103" s="8" t="n">
        <x:v>1</x:v>
      </x:c>
      <x:c r="M103" s="8" t="n">
        <x:v>1</x:v>
      </x:c>
      <x:c r="N103" s="7" t="str"/>
      <x:c r="O103" s="7" t="str">
        <x:v>{"status":"draft","module":"schedule","title":{"containsAny":["thesis","defence"]},"date":"2026-10-06","time":"21:00"}</x:v>
      </x:c>
      <x:c r="P103" s="7" t="str">
        <x:v>{"status":"draft","reason":null,"module":"schedule","draft":null,"fields":{"id":"96e0b9a7-c882-4eba-b6e0-a5b013c741ed","title":"Remote Thesis Defence","notes":"","date":"2026-10-06","time":"21:00","amount":null,"kind":null,"category":null,"account":null,"timezone":"America/Los_Angeles"}}</x:v>
      </x:c>
      <x:c r="Q103" s="7" t="str">
        <x:v>{"intent":"single_task","module":"schedule","title":"Remote Thesis Defence","notes":"","date_text":"today","time_text":"9pm"}</x:v>
      </x:c>
      <x:c r="R103" s="8" t="n">
        <x:v>1</x:v>
      </x:c>
      <x:c r="S103" s="8" t="n">
        <x:v>1</x:v>
      </x:c>
      <x:c r="T103" s="8" t="n">
        <x:v>1</x:v>
      </x:c>
      <x:c r="U103" s="8" t="n">
        <x:v>1</x:v>
      </x:c>
      <x:c r="V103" s="7" t="str">
        <x:v>timezone_boundary</x:v>
      </x:c>
    </x:row>
    <x:row r="104" ht="90" customHeight="1">
      <x:c r="A104" s="7" t="str">
        <x:v>mh4-finance-en-28</x:v>
      </x:c>
      <x:c r="B104" s="7" t="str">
        <x:v>finance</x:v>
      </x:c>
      <x:c r="C104" s="7" t="str">
        <x:v>Log breakfast at 12 yuan and then dinner at 30 yuan today, both with cash.</x:v>
      </x:c>
      <x:c r="D104" s="7" t="str">
        <x:v>clarification</x:v>
      </x:c>
      <x:c r="E104" s="7" t="str"/>
      <x:c r="F104" s="7" t="str">
        <x:v>draft</x:v>
      </x:c>
      <x:c r="G104" s="7" t="str">
        <x:v>finance</x:v>
      </x:c>
      <x:c r="H104" s="8" t="n">
        <x:v>0</x:v>
      </x:c>
      <x:c r="I104" s="8" t="n">
        <x:v>0</x:v>
      </x:c>
      <x:c r="J104" s="8" t="n">
        <x:v>0</x:v>
      </x:c>
      <x:c r="K104" s="8" t="n">
        <x:v>0</x:v>
      </x:c>
      <x:c r="L104" s="8" t="n">
        <x:v>0</x:v>
      </x:c>
      <x:c r="M104" s="8" t="n">
        <x:v>0</x:v>
      </x:c>
      <x:c r="N104" s="7" t="str">
        <x:v>status, module</x:v>
      </x:c>
      <x:c r="O104" s="7" t="str">
        <x:v>{"status":"clarification","module":null}</x:v>
      </x:c>
      <x:c r="P104" s="7" t="str">
        <x:v>{"status":"draft","reason":null,"module":"finance","draft":null,"fields":{"id":"aa7a6a4c-5a16-4f0b-b141-53a910e75729","title":"Breakfast and Dinner","notes":"12 yuan, 30 yuan","date":"2026-10-06","time":null,"amount":null,"kind":null,"category":"Food &amp; Drinks","account":"Cash","timezone":"America/Los_Angeles"}}</x:v>
      </x:c>
      <x:c r="Q104" s="7" t="str">
        <x:v>{"intent":"single_task","module":"finance","title":"Breakfast and Dinner","notes":"12 yuan, 30 yuan","date_text":"today","amount":"12, 30","kind":"expense","category":"Food &amp; Drinks","account":"Cash"}</x:v>
      </x:c>
      <x:c r="R104" s="8" t="n">
        <x:v>1</x:v>
      </x:c>
      <x:c r="S104" s="8" t="n">
        <x:v>0</x:v>
      </x:c>
      <x:c r="T104" s="8" t="n">
        <x:v>0</x:v>
      </x:c>
      <x:c r="U104" s="8" t="n">
        <x:v>0</x:v>
      </x:c>
      <x:c r="V104" s="7" t="str">
        <x:v>multiple_actions</x:v>
      </x:c>
    </x:row>
    <x:row r="105" ht="90" customHeight="1">
      <x:c r="A105" s="7" t="str">
        <x:v>mh4-schedule-en-16</x:v>
      </x:c>
      <x:c r="B105" s="7" t="str">
        <x:v>schedule</x:v>
      </x:c>
      <x:c r="C105" s="7" t="str">
        <x:v>Title the event "Collection"; it is for getting my replacement certificate tomorrow at 2pm.</x:v>
      </x:c>
      <x:c r="D105" s="7" t="str">
        <x:v>draft</x:v>
      </x:c>
      <x:c r="E105" s="7" t="str">
        <x:v>schedule</x:v>
      </x:c>
      <x:c r="F105" s="7" t="str">
        <x:v>draft</x:v>
      </x:c>
      <x:c r="G105" s="7" t="str">
        <x:v>schedule</x:v>
      </x:c>
      <x:c r="H105" s="8" t="n">
        <x:v>1</x:v>
      </x:c>
      <x:c r="I105" s="8" t="n">
        <x:v>2</x:v>
      </x:c>
      <x:c r="J105" s="8" t="n">
        <x:v>2</x:v>
      </x:c>
      <x:c r="K105" s="8" t="n">
        <x:v>1</x:v>
      </x:c>
      <x:c r="L105" s="8" t="n">
        <x:v>1</x:v>
      </x:c>
      <x:c r="M105" s="8" t="n">
        <x:v>1</x:v>
      </x:c>
      <x:c r="N105" s="7" t="str"/>
      <x:c r="O105" s="7" t="str">
        <x:v>{"status":"draft","module":"schedule","title":{"containsAny":["Collection"]},"date":"2026-10-07","time":"14:00"}</x:v>
      </x:c>
      <x:c r="P105" s="7" t="str">
        <x:v>{"status":"draft","reason":null,"module":"schedule","draft":null,"fields":{"id":"cd5d388b-96a5-48dd-a9e5-493b84e00836","title":"Collection","notes":"getting my replacement certificate","date":"2026-10-07","time":"14:00","amount":null,"kind":null,"category":null,"account":null,"timezone":"America/Los_Angeles"}}</x:v>
      </x:c>
      <x:c r="Q105" s="7" t="str">
        <x:v>{"intent":"single_task","module":"schedule","title":"Collection","notes":"getting my replacement certificate","date_text":"tomorrow","time_text":"2pm"}</x:v>
      </x:c>
      <x:c r="R105" s="8" t="n">
        <x:v>1</x:v>
      </x:c>
      <x:c r="S105" s="8" t="n">
        <x:v>1</x:v>
      </x:c>
      <x:c r="T105" s="8" t="n">
        <x:v>1</x:v>
      </x:c>
      <x:c r="U105" s="8" t="n">
        <x:v>1</x:v>
      </x:c>
      <x:c r="V105" s="7" t="str">
        <x:v>explicit_title</x:v>
      </x:c>
    </x:row>
    <x:row r="106" ht="90" customHeight="1">
      <x:c r="A106" s="7" t="str">
        <x:v>mh4-memo-en-13</x:v>
      </x:c>
      <x:c r="B106" s="7" t="str">
        <x:v>memo</x:v>
      </x:c>
      <x:c r="C106" s="7" t="str">
        <x:v>Add a task due this Monday: label the bike lock key.</x:v>
      </x:c>
      <x:c r="D106" s="7" t="str">
        <x:v>draft</x:v>
      </x:c>
      <x:c r="E106" s="7" t="str">
        <x:v>memo</x:v>
      </x:c>
      <x:c r="F106" s="7" t="str">
        <x:v>draft</x:v>
      </x:c>
      <x:c r="G106" s="7" t="str">
        <x:v>memo</x:v>
      </x:c>
      <x:c r="H106" s="8" t="n">
        <x:v>1</x:v>
      </x:c>
      <x:c r="I106" s="8" t="n">
        <x:v>1</x:v>
      </x:c>
      <x:c r="J106" s="8" t="n">
        <x:v>1</x:v>
      </x:c>
      <x:c r="K106" s="8" t="n">
        <x:v>1</x:v>
      </x:c>
      <x:c r="L106" s="8" t="n">
        <x:v>1</x:v>
      </x:c>
      <x:c r="M106" s="8" t="n">
        <x:v>1</x:v>
      </x:c>
      <x:c r="N106" s="7" t="str"/>
      <x:c r="O106" s="7" t="str">
        <x:v>{"status":"draft","module":"memo","title":{"containsAny":["lock","key"]},"date":null,"priority":null}</x:v>
      </x:c>
      <x:c r="P106" s="7" t="str">
        <x:v>{"status":"draft","reason":null,"draft":{"id":"619a3cb1-ff7a-4adb-b2d2-24dd29858dab","title":"Label the bike lock key","notes":"","dueDate":null,"timezone":"America/Los_Angeles","priority":null,"dateText":"this Monday","warnings":["past_date","date_needs_review","priority_missing"]},"module":"memo","fields":null}</x:v>
      </x:c>
      <x:c r="Q106" s="7" t="str">
        <x:v>{"intent":"single_task","module":"memo","title":"Label the bike lock key","notes":"","date_text":"this Monday","priority":"null"}</x:v>
      </x:c>
      <x:c r="R106" s="8" t="n">
        <x:v>1</x:v>
      </x:c>
      <x:c r="S106" s="8" t="n">
        <x:v>1</x:v>
      </x:c>
      <x:c r="T106" s="8" t="n">
        <x:v>1</x:v>
      </x:c>
      <x:c r="U106" s="8" t="n">
        <x:v>1</x:v>
      </x:c>
      <x:c r="V106" s="7" t="str">
        <x:v>past_deadline</x:v>
      </x:c>
    </x:row>
    <x:row r="107" ht="90" customHeight="1">
      <x:c r="A107" s="7" t="str">
        <x:v>mh4-memo-en-03</x:v>
      </x:c>
      <x:c r="B107" s="7" t="str">
        <x:v>memo</x:v>
      </x:c>
      <x:c r="C107" s="7" t="str">
        <x:v>A note for future me: the spare duvet lives in the attic trunk.</x:v>
      </x:c>
      <x:c r="D107" s="7" t="str">
        <x:v>draft</x:v>
      </x:c>
      <x:c r="E107" s="7" t="str">
        <x:v>memo</x:v>
      </x:c>
      <x:c r="F107" s="7" t="str">
        <x:v>draft</x:v>
      </x:c>
      <x:c r="G107" s="7" t="str">
        <x:v>memo</x:v>
      </x:c>
      <x:c r="H107" s="8" t="n">
        <x:v>1</x:v>
      </x:c>
      <x:c r="I107" s="8" t="n">
        <x:v>0</x:v>
      </x:c>
      <x:c r="J107" s="8" t="n">
        <x:v>1</x:v>
      </x:c>
      <x:c r="K107" s="8" t="n">
        <x:v>0</x:v>
      </x:c>
      <x:c r="L107" s="8" t="n">
        <x:v>1</x:v>
      </x:c>
      <x:c r="M107" s="8" t="n">
        <x:v>0</x:v>
      </x:c>
      <x:c r="N107" s="7" t="str">
        <x:v>title</x:v>
      </x:c>
      <x:c r="O107" s="7" t="str">
        <x:v>{"status":"draft","module":"memo","title":{"containsAny":["duvet","attic","trunk"]},"date":null,"priority":null}</x:v>
      </x:c>
      <x:c r="P107" s="7" t="str">
        <x:v>{"status":"draft","reason":null,"draft":{"id":"b160f79f-4979-4f0e-ab74-987abf62e220","title":"Note for future me","notes":"the spare duvet lives in the attic trunk","dueDate":null,"timezone":"America/Los_Angeles","priority":null,"dateText":null,"warnings":["date_missing","priority_missing"]},"module":"memo","fields":null}</x:v>
      </x:c>
      <x:c r="Q107" s="7" t="str">
        <x:v>{"intent":"single_task","module":"memo","title":"Note for future me","notes":"the spare duvet lives in the attic trunk","date_text":null,"time_text":null,"priority":null}</x:v>
      </x:c>
      <x:c r="R107" s="8" t="n">
        <x:v>1</x:v>
      </x:c>
      <x:c r="S107" s="8" t="n">
        <x:v>1</x:v>
      </x:c>
      <x:c r="T107" s="8" t="n">
        <x:v>1</x:v>
      </x:c>
      <x:c r="U107" s="8" t="n">
        <x:v>1</x:v>
      </x:c>
      <x:c r="V107" s="7" t="str">
        <x:v>factual_note</x:v>
      </x:c>
    </x:row>
    <x:row r="108" ht="88" customHeight="1">
      <x:c r="A108" s="7" t="str">
        <x:v>mh4-memo-en-25</x:v>
      </x:c>
      <x:c r="B108" s="7" t="str">
        <x:v>memo</x:v>
      </x:c>
      <x:c r="C108" s="7" t="str">
        <x:v>Rename my existing "vacuum" task to "mop the hallway".</x:v>
      </x:c>
      <x:c r="D108" s="7" t="str">
        <x:v>clarification</x:v>
      </x:c>
      <x:c r="E108" s="7" t="str"/>
      <x:c r="F108" s="7" t="str"/>
      <x:c r="G108" s="7" t="str"/>
      <x:c r="H108" s="8" t="n">
        <x:v>0</x:v>
      </x:c>
      <x:c r="I108" s="8" t="n">
        <x:v>0</x:v>
      </x:c>
      <x:c r="J108" s="8" t="n">
        <x:v>0</x:v>
      </x:c>
      <x:c r="K108" s="8" t="n">
        <x:v>0</x:v>
      </x:c>
      <x:c r="L108" s="8" t="n">
        <x:v>0</x:v>
      </x:c>
      <x:c r="M108" s="8" t="n">
        <x:v>0</x:v>
      </x:c>
      <x:c r="N108" s="7" t="str">
        <x:v>invalid_model_output</x:v>
      </x:c>
      <x:c r="O108" s="7" t="str">
        <x:v>{"status":"clarification","module":null}</x:v>
      </x:c>
      <x:c r="P108" s="7" t="str">
        <x:v>{}</x:v>
      </x:c>
      <x:c r="Q108" s="7" t="str">
        <x:v>{"intent":"single_task","module":"memo","title":"Rename existing 'vacuum' task","notes":"Rename 'vacuum' task to 'mop the hallway'","old_title":"vacuum","new_title":"mop the hallway"}</x:v>
      </x:c>
      <x:c r="R108" s="8" t="n">
        <x:v>1</x:v>
      </x:c>
      <x:c r="S108" s="8" t="n">
        <x:v>0</x:v>
      </x:c>
      <x:c r="T108" s="8" t="n">
        <x:v>0</x:v>
      </x:c>
      <x:c r="U108" s="8" t="n">
        <x:v>0</x:v>
      </x:c>
      <x:c r="V108" s="7" t="str">
        <x:v>mutation</x:v>
      </x:c>
    </x:row>
    <x:row r="109" ht="88" customHeight="1">
      <x:c r="A109" s="7" t="str">
        <x:v>mh4-memo-en-05</x:v>
      </x:c>
      <x:c r="B109" s="7" t="str">
        <x:v>memo</x:v>
      </x:c>
      <x:c r="C109" s="7" t="str">
        <x:v>Make a task to clean the frigde, sorry, fridge.</x:v>
      </x:c>
      <x:c r="D109" s="7" t="str">
        <x:v>draft</x:v>
      </x:c>
      <x:c r="E109" s="7" t="str">
        <x:v>memo</x:v>
      </x:c>
      <x:c r="F109" s="7" t="str">
        <x:v>draft</x:v>
      </x:c>
      <x:c r="G109" s="7" t="str">
        <x:v>memo</x:v>
      </x:c>
      <x:c r="H109" s="8" t="n">
        <x:v>1</x:v>
      </x:c>
      <x:c r="I109" s="8" t="n">
        <x:v>1</x:v>
      </x:c>
      <x:c r="J109" s="8" t="n">
        <x:v>1</x:v>
      </x:c>
      <x:c r="K109" s="8" t="n">
        <x:v>1</x:v>
      </x:c>
      <x:c r="L109" s="8" t="n">
        <x:v>1</x:v>
      </x:c>
      <x:c r="M109" s="8" t="n">
        <x:v>1</x:v>
      </x:c>
      <x:c r="N109" s="7" t="str"/>
      <x:c r="O109" s="7" t="str">
        <x:v>{"status":"draft","module":"memo","title":{"containsAny":["fridge","frigde"]},"date":null,"priority":null}</x:v>
      </x:c>
      <x:c r="P109" s="7" t="str">
        <x:v>{"status":"draft","reason":null,"draft":{"id":"05cb8625-a9fc-4590-80f2-cff8ffa89afb","title":"Clean the fridge","notes":"","dueDate":null,"timezone":"America/Los_Angeles","priority":null,"dateText":null,"warnings":["date_missing","priority_missing"]},"module":"memo","fields":null}</x:v>
      </x:c>
      <x:c r="Q109" s="7" t="str">
        <x:v>{
  "intent": "single_task",
  "module": "memo",
  "title": "Clean the fridge",
  "notes": "",
  "date_text": null,
  "priority": "absent"
}</x:v>
      </x:c>
      <x:c r="R109" s="8" t="n">
        <x:v>1</x:v>
      </x:c>
      <x:c r="S109" s="8" t="n">
        <x:v>1</x:v>
      </x:c>
      <x:c r="T109" s="8" t="n">
        <x:v>1</x:v>
      </x:c>
      <x:c r="U109" s="8" t="n">
        <x:v>1</x:v>
      </x:c>
      <x:c r="V109" s="7" t="str">
        <x:v>typo</x:v>
      </x:c>
    </x:row>
    <x:row r="110" ht="88" customHeight="1">
      <x:c r="A110" s="7" t="str">
        <x:v>mh4-memo-en-12</x:v>
      </x:c>
      <x:c r="B110" s="7" t="str">
        <x:v>memo</x:v>
      </x:c>
      <x:c r="C110" s="7" t="str">
        <x:v>Remind me through a to-do to replace the water filter by 2027-02-10.</x:v>
      </x:c>
      <x:c r="D110" s="7" t="str">
        <x:v>draft</x:v>
      </x:c>
      <x:c r="E110" s="7" t="str">
        <x:v>memo</x:v>
      </x:c>
      <x:c r="F110" s="7" t="str">
        <x:v>draft</x:v>
      </x:c>
      <x:c r="G110" s="7" t="str">
        <x:v>memo</x:v>
      </x:c>
      <x:c r="H110" s="8" t="n">
        <x:v>1</x:v>
      </x:c>
      <x:c r="I110" s="8" t="n">
        <x:v>1</x:v>
      </x:c>
      <x:c r="J110" s="8" t="n">
        <x:v>1</x:v>
      </x:c>
      <x:c r="K110" s="8" t="n">
        <x:v>1</x:v>
      </x:c>
      <x:c r="L110" s="8" t="n">
        <x:v>1</x:v>
      </x:c>
      <x:c r="M110" s="8" t="n">
        <x:v>1</x:v>
      </x:c>
      <x:c r="N110" s="7" t="str"/>
      <x:c r="O110" s="7" t="str">
        <x:v>{"status":"draft","module":"memo","title":{"containsAny":["filter"]},"date":"2027-02-10","priority":null}</x:v>
      </x:c>
      <x:c r="P110" s="7" t="str">
        <x:v>{"status":"draft","reason":null,"draft":{"id":"cf55196c-8778-4d1c-bbf9-775acbba8333","title":"Replace water filter","notes":"2027-02-10","dueDate":"2027-02-10","timezone":"America/Los_Angeles","priority":null,"dateText":"2027-02-10","warnings":["priority_missing"]},"module":"memo","fields":null}</x:v>
      </x:c>
      <x:c r="Q110" s="7" t="str">
        <x:v>{"intent":"single_task","module":"memo","title":"Replace water filter","notes":"2027-02-10","date_text":"2027-02-10","priority":"high"}</x:v>
      </x:c>
      <x:c r="R110" s="8" t="n">
        <x:v>1</x:v>
      </x:c>
      <x:c r="S110" s="8" t="n">
        <x:v>1</x:v>
      </x:c>
      <x:c r="T110" s="8" t="n">
        <x:v>1</x:v>
      </x:c>
      <x:c r="U110" s="8" t="n">
        <x:v>1</x:v>
      </x:c>
      <x:c r="V110" s="7" t="str">
        <x:v>absolute_date</x:v>
      </x:c>
    </x:row>
    <x:row r="111" ht="88" customHeight="1">
      <x:c r="A111" s="7" t="str">
        <x:v>mh4-memo-en-26</x:v>
      </x:c>
      <x:c r="B111" s="7" t="str">
        <x:v>memo</x:v>
      </x:c>
      <x:c r="C111" s="7" t="str">
        <x:v>Clear out the completed items currently in my checklist.</x:v>
      </x:c>
      <x:c r="D111" s="7" t="str">
        <x:v>clarification</x:v>
      </x:c>
      <x:c r="E111" s="7" t="str"/>
      <x:c r="F111" s="7" t="str">
        <x:v>draft</x:v>
      </x:c>
      <x:c r="G111" s="7" t="str">
        <x:v>memo</x:v>
      </x:c>
      <x:c r="H111" s="8" t="n">
        <x:v>0</x:v>
      </x:c>
      <x:c r="I111" s="8" t="n">
        <x:v>0</x:v>
      </x:c>
      <x:c r="J111" s="8" t="n">
        <x:v>0</x:v>
      </x:c>
      <x:c r="K111" s="8" t="n">
        <x:v>0</x:v>
      </x:c>
      <x:c r="L111" s="8" t="n">
        <x:v>0</x:v>
      </x:c>
      <x:c r="M111" s="8" t="n">
        <x:v>0</x:v>
      </x:c>
      <x:c r="N111" s="7" t="str">
        <x:v>status, module</x:v>
      </x:c>
      <x:c r="O111" s="7" t="str">
        <x:v>{"status":"clarification","module":null}</x:v>
      </x:c>
      <x:c r="P111" s="7" t="str">
        <x:v>{"status":"draft","reason":null,"draft":{"id":"136a47a1-850b-4633-ac10-10e9386679a4","title":"Clear out completed items","notes":"","dueDate":null,"timezone":"America/Los_Angeles","priority":null,"dateText":null,"warnings":["date_missing","priority_missing"]},"module":"memo","fields":null}</x:v>
      </x:c>
      <x:c r="Q111" s="7" t="str">
        <x:v>{"intent":"single_task","module":"memo","title":"Clear out completed items","notes":"","date_text":"null","time_text":"null"}</x:v>
      </x:c>
      <x:c r="R111" s="8" t="n">
        <x:v>1</x:v>
      </x:c>
      <x:c r="S111" s="8" t="n">
        <x:v>0</x:v>
      </x:c>
      <x:c r="T111" s="8" t="n">
        <x:v>0</x:v>
      </x:c>
      <x:c r="U111" s="8" t="n">
        <x:v>0</x:v>
      </x:c>
      <x:c r="V111" s="7" t="str">
        <x:v>mutation</x:v>
      </x:c>
    </x:row>
    <x:row r="112" ht="88" customHeight="1">
      <x:c r="A112" s="7" t="str">
        <x:v>mh4-finance-en-05</x:v>
      </x:c>
      <x:c r="B112" s="7" t="str">
        <x:v>finance</x:v>
      </x:c>
      <x:c r="C112" s="7" t="str">
        <x:v>My salary of 6200 yuan arrived in my bank card account today; record income.</x:v>
      </x:c>
      <x:c r="D112" s="7" t="str">
        <x:v>draft</x:v>
      </x:c>
      <x:c r="E112" s="7" t="str">
        <x:v>finance</x:v>
      </x:c>
      <x:c r="F112" s="7" t="str">
        <x:v>draft</x:v>
      </x:c>
      <x:c r="G112" s="7" t="str">
        <x:v>finance</x:v>
      </x:c>
      <x:c r="H112" s="8" t="n">
        <x:v>1</x:v>
      </x:c>
      <x:c r="I112" s="8" t="n">
        <x:v>6</x:v>
      </x:c>
      <x:c r="J112" s="8" t="n">
        <x:v>6</x:v>
      </x:c>
      <x:c r="K112" s="8" t="n">
        <x:v>1</x:v>
      </x:c>
      <x:c r="L112" s="8" t="n">
        <x:v>1</x:v>
      </x:c>
      <x:c r="M112" s="8" t="n">
        <x:v>1</x:v>
      </x:c>
      <x:c r="N112" s="7" t="str"/>
      <x:c r="O112" s="7" t="str">
        <x:v>{"status":"draft","module":"finance","title":{"containsAny":["salary"]},"amount":"6200","kind":"income","category":"Salary","account":"Bank Card","date":"2026-10-06"}</x:v>
      </x:c>
      <x:c r="P112" s="7" t="str">
        <x:v>{"status":"draft","reason":null,"module":"finance","draft":null,"fields":{"id":"fba51bf3-4612-405d-a1cc-00827e79885f","title":"Salary","notes":"","date":"2026-10-06","time":null,"amount":"6200","kind":"income","category":"Salary","account":"Bank Card","timezone":"America/Los_Angeles"}}</x:v>
      </x:c>
      <x:c r="Q112" s="7" t="str">
        <x:v>{"intent":"single_task","module":"finance","title":"Salary","notes":"","date_text":"today","amount":"6200","kind":"income","category":"Salary","account":"Bank Card"}</x:v>
      </x:c>
      <x:c r="R112" s="8" t="n">
        <x:v>1</x:v>
      </x:c>
      <x:c r="S112" s="8" t="n">
        <x:v>1</x:v>
      </x:c>
      <x:c r="T112" s="8" t="n">
        <x:v>1</x:v>
      </x:c>
      <x:c r="U112" s="8" t="n">
        <x:v>1</x:v>
      </x:c>
      <x:c r="V112" s="7" t="str">
        <x:v>complete</x:v>
      </x:c>
    </x:row>
    <x:row r="113" ht="88" customHeight="1">
      <x:c r="A113" s="7" t="str">
        <x:v>mh4-finance-en-20</x:v>
      </x:c>
      <x:c r="B113" s="7" t="str">
        <x:v>finance</x:v>
      </x:c>
      <x:c r="C113" s="7" t="str">
        <x:v>I paid 24 yuan cash for noodles, yesterday or the day before, the date is hazy.</x:v>
      </x:c>
      <x:c r="D113" s="7" t="str">
        <x:v>draft</x:v>
      </x:c>
      <x:c r="E113" s="7" t="str">
        <x:v>finance</x:v>
      </x:c>
      <x:c r="F113" s="7" t="str">
        <x:v>draft</x:v>
      </x:c>
      <x:c r="G113" s="7" t="str">
        <x:v>finance</x:v>
      </x:c>
      <x:c r="H113" s="8" t="n">
        <x:v>1</x:v>
      </x:c>
      <x:c r="I113" s="8" t="n">
        <x:v>5</x:v>
      </x:c>
      <x:c r="J113" s="8" t="n">
        <x:v>6</x:v>
      </x:c>
      <x:c r="K113" s="8" t="n">
        <x:v>0</x:v>
      </x:c>
      <x:c r="L113" s="8" t="n">
        <x:v>1</x:v>
      </x:c>
      <x:c r="M113" s="8" t="n">
        <x:v>0</x:v>
      </x:c>
      <x:c r="N113" s="7" t="str">
        <x:v>date</x:v>
      </x:c>
      <x:c r="O113" s="7" t="str">
        <x:v>{"status":"draft","module":"finance","title":{"containsAny":["noodle"]},"amount":"24","kind":"expense","category":"Food &amp; Drinks","account":"Cash","date":null}</x:v>
      </x:c>
      <x:c r="P113" s="7" t="str">
        <x:v>{"status":"draft","reason":null,"module":"finance","draft":null,"fields":{"id":"bb03ae35-490f-4f5e-9611-8a5043a128fd","title":"Noodles","notes":"","date":"2026-10-05","time":null,"amount":"24","kind":"expense","category":"Food &amp; Drinks","account":"Cash","timezone":"America/Los_Angeles"}}</x:v>
      </x:c>
      <x:c r="Q113" s="7" t="str">
        <x:v>{"intent":"single_task","module":"finance","title":"Noodles","notes":"","date_text":"yesterday","amount":"24","kind":"expense","category":"Food &amp; Drinks","account":"Cash"}</x:v>
      </x:c>
      <x:c r="R113" s="8" t="n">
        <x:v>1</x:v>
      </x:c>
      <x:c r="S113" s="8" t="n">
        <x:v>1</x:v>
      </x:c>
      <x:c r="T113" s="8" t="n">
        <x:v>1</x:v>
      </x:c>
      <x:c r="U113" s="8" t="n">
        <x:v>0</x:v>
      </x:c>
      <x:c r="V113" s="7" t="str">
        <x:v>uncertain_date</x:v>
      </x:c>
    </x:row>
    <x:row r="114" ht="88" customHeight="1">
      <x:c r="A114" s="7" t="str">
        <x:v>mh4-finance-en-29</x:v>
      </x:c>
      <x:c r="B114" s="7" t="str">
        <x:v>finance</x:v>
      </x:c>
      <x:c r="C114" s="7" t="str">
        <x:v>Record 17 yuan for tea today and create a reminder to buy a new teapot.</x:v>
      </x:c>
      <x:c r="D114" s="7" t="str">
        <x:v>clarification</x:v>
      </x:c>
      <x:c r="E114" s="7" t="str"/>
      <x:c r="F114" s="7" t="str">
        <x:v>clarification</x:v>
      </x:c>
      <x:c r="G114" s="7" t="str"/>
      <x:c r="H114" s="8" t="n">
        <x:v>1</x:v>
      </x:c>
      <x:c r="I114" s="8" t="n">
        <x:v>0</x:v>
      </x:c>
      <x:c r="J114" s="8" t="n">
        <x:v>0</x:v>
      </x:c>
      <x:c r="K114" s="8" t="n">
        <x:v>1</x:v>
      </x:c>
      <x:c r="L114" s="8" t="n">
        <x:v>0</x:v>
      </x:c>
      <x:c r="M114" s="8" t="n">
        <x:v>0</x:v>
      </x:c>
      <x:c r="N114" s="7" t="str"/>
      <x:c r="O114" s="7" t="str">
        <x:v>{"status":"clarification","module":null}</x:v>
      </x:c>
      <x:c r="P114" s="7" t="str">
        <x:v>{"status":"clarification","reason":"multiple_tasks","module":null,"draft":null,"fields":null}</x:v>
      </x:c>
      <x:c r="Q114" s="7" t="str"/>
      <x:c r="R114" s="8" t="n">
        <x:v>0</x:v>
      </x:c>
      <x:c r="S114" s="8"/>
      <x:c r="T114" s="8" t="n">
        <x:v>0</x:v>
      </x:c>
      <x:c r="U114" s="8" t="n">
        <x:v>0</x:v>
      </x:c>
      <x:c r="V114" s="7" t="str">
        <x:v>multiple_actions</x:v>
      </x:c>
    </x:row>
    <x:row r="115" ht="88" customHeight="1">
      <x:c r="A115" s="7" t="str">
        <x:v>mh4-health-en-29</x:v>
      </x:c>
      <x:c r="B115" s="7" t="str">
        <x:v>health</x:v>
      </x:c>
      <x:c r="C115" s="7" t="str">
        <x:v>Set a target of walking eight thousand steps a day in Health.</x:v>
      </x:c>
      <x:c r="D115" s="7" t="str">
        <x:v>clarification</x:v>
      </x:c>
      <x:c r="E115" s="7" t="str"/>
      <x:c r="F115" s="7" t="str">
        <x:v>clarification</x:v>
      </x:c>
      <x:c r="G115" s="7" t="str"/>
      <x:c r="H115" s="8" t="n">
        <x:v>1</x:v>
      </x:c>
      <x:c r="I115" s="8" t="n">
        <x:v>0</x:v>
      </x:c>
      <x:c r="J115" s="8" t="n">
        <x:v>0</x:v>
      </x:c>
      <x:c r="K115" s="8" t="n">
        <x:v>1</x:v>
      </x:c>
      <x:c r="L115" s="8" t="n">
        <x:v>0</x:v>
      </x:c>
      <x:c r="M115" s="8" t="n">
        <x:v>0</x:v>
      </x:c>
      <x:c r="N115" s="7" t="str"/>
      <x:c r="O115" s="7" t="str">
        <x:v>{"status":"clarification","module":null}</x:v>
      </x:c>
      <x:c r="P115" s="7" t="str">
        <x:v>{"status":"clarification","reason":"health_unsupported","module":null,"draft":null,"fields":null}</x:v>
      </x:c>
      <x:c r="Q115" s="7" t="str">
        <x:v>{"intent":"single_task","module":"health","title":"Set a target of walking eight thousand steps a day","notes":"","date_text":"absent","time_text":"absent","priority":"absent","account":"absent"}</x:v>
      </x:c>
      <x:c r="R115" s="8" t="n">
        <x:v>1</x:v>
      </x:c>
      <x:c r="S115" s="8" t="n">
        <x:v>0</x:v>
      </x:c>
      <x:c r="T115" s="8" t="n">
        <x:v>0</x:v>
      </x:c>
      <x:c r="U115" s="8" t="n">
        <x:v>0</x:v>
      </x:c>
      <x:c r="V115" s="7" t="str">
        <x:v>unsupported_goal</x:v>
      </x:c>
    </x:row>
    <x:row r="116" ht="88" customHeight="1">
      <x:c r="A116" s="7" t="str">
        <x:v>mh4-health-en-11</x:v>
      </x:c>
      <x:c r="B116" s="7" t="str">
        <x:v>health</x:v>
      </x:c>
      <x:c r="C116" s="7" t="str">
        <x:v>Go into Health; I will read the figures there myself.</x:v>
      </x:c>
      <x:c r="D116" s="7" t="str">
        <x:v>draft</x:v>
      </x:c>
      <x:c r="E116" s="7" t="str">
        <x:v>health</x:v>
      </x:c>
      <x:c r="F116" s="7" t="str">
        <x:v>draft</x:v>
      </x:c>
      <x:c r="G116" s="7" t="str">
        <x:v>memo</x:v>
      </x:c>
      <x:c r="H116" s="8" t="n">
        <x:v>0</x:v>
      </x:c>
      <x:c r="I116" s="8" t="n">
        <x:v>0</x:v>
      </x:c>
      <x:c r="J116" s="8" t="n">
        <x:v>0</x:v>
      </x:c>
      <x:c r="K116" s="8" t="n">
        <x:v>0</x:v>
      </x:c>
      <x:c r="L116" s="8" t="n">
        <x:v>1</x:v>
      </x:c>
      <x:c r="M116" s="8" t="n">
        <x:v>0</x:v>
      </x:c>
      <x:c r="N116" s="7" t="str">
        <x:v>module</x:v>
      </x:c>
      <x:c r="O116" s="7" t="str">
        <x:v>{"status":"draft","module":"health"}</x:v>
      </x:c>
      <x:c r="P116" s="7" t="str">
        <x:v>{"status":"draft","reason":null,"draft":{"id":"965f7fa6-9b97-41e9-bafa-682924ae06f1","title":"Go into Health","notes":"","dueDate":null,"timezone":"America/Los_Angeles","priority":null,"dateText":null,"warnings":["date_missing","priority_missing"]},"module":"memo","fields":null}</x:v>
      </x:c>
      <x:c r="Q116" s="7" t="str">
        <x:v>{"intent":"single_task","module":"health","title":"Read figures","notes":""}</x:v>
      </x:c>
      <x:c r="R116" s="8" t="n">
        <x:v>1</x:v>
      </x:c>
      <x:c r="S116" s="8" t="n">
        <x:v>1</x:v>
      </x:c>
      <x:c r="T116" s="8" t="n">
        <x:v>0</x:v>
      </x:c>
      <x:c r="U116" s="8" t="n">
        <x:v>0</x:v>
      </x:c>
      <x:c r="V116" s="7" t="str">
        <x:v>open_page</x:v>
      </x:c>
    </x:row>
    <x:row r="117" ht="88" customHeight="1">
      <x:c r="A117" s="7" t="str">
        <x:v>mh4-health-en-19</x:v>
      </x:c>
      <x:c r="B117" s="7" t="str">
        <x:v>health</x:v>
      </x:c>
      <x:c r="C117" s="7" t="str">
        <x:v>Log a 35-minute cycling workout in Health today.</x:v>
      </x:c>
      <x:c r="D117" s="7" t="str">
        <x:v>clarification</x:v>
      </x:c>
      <x:c r="E117" s="7" t="str"/>
      <x:c r="F117" s="7" t="str">
        <x:v>clarification</x:v>
      </x:c>
      <x:c r="G117" s="7" t="str"/>
      <x:c r="H117" s="8" t="n">
        <x:v>1</x:v>
      </x:c>
      <x:c r="I117" s="8" t="n">
        <x:v>0</x:v>
      </x:c>
      <x:c r="J117" s="8" t="n">
        <x:v>0</x:v>
      </x:c>
      <x:c r="K117" s="8" t="n">
        <x:v>1</x:v>
      </x:c>
      <x:c r="L117" s="8" t="n">
        <x:v>0</x:v>
      </x:c>
      <x:c r="M117" s="8" t="n">
        <x:v>0</x:v>
      </x:c>
      <x:c r="N117" s="7" t="str"/>
      <x:c r="O117" s="7" t="str">
        <x:v>{"status":"clarification","module":null}</x:v>
      </x:c>
      <x:c r="P117" s="7" t="str">
        <x:v>{"status":"clarification","reason":"health_unsupported","module":null,"draft":null,"fields":null}</x:v>
      </x:c>
      <x:c r="Q117" s="7" t="str"/>
      <x:c r="R117" s="8" t="n">
        <x:v>0</x:v>
      </x:c>
      <x:c r="S117" s="8"/>
      <x:c r="T117" s="8" t="n">
        <x:v>0</x:v>
      </x:c>
      <x:c r="U117" s="8" t="n">
        <x:v>0</x:v>
      </x:c>
      <x:c r="V117" s="7" t="str">
        <x:v>exercise_logging</x:v>
      </x:c>
    </x:row>
    <x:row r="118" ht="88" customHeight="1">
      <x:c r="A118" s="7" t="str">
        <x:v>mh4-schedule-en-11</x:v>
      </x:c>
      <x:c r="B118" s="7" t="str">
        <x:v>schedule</x:v>
      </x:c>
      <x:c r="C118" s="7" t="str">
        <x:v>Friday dinner gathering, either 6pm or 7pm, still checking the time. Add an event.</x:v>
      </x:c>
      <x:c r="D118" s="7" t="str">
        <x:v>draft</x:v>
      </x:c>
      <x:c r="E118" s="7" t="str">
        <x:v>schedule</x:v>
      </x:c>
      <x:c r="F118" s="7" t="str">
        <x:v>draft</x:v>
      </x:c>
      <x:c r="G118" s="7" t="str">
        <x:v>schedule</x:v>
      </x:c>
      <x:c r="H118" s="8" t="n">
        <x:v>1</x:v>
      </x:c>
      <x:c r="I118" s="8" t="n">
        <x:v>1</x:v>
      </x:c>
      <x:c r="J118" s="8" t="n">
        <x:v>2</x:v>
      </x:c>
      <x:c r="K118" s="8" t="n">
        <x:v>0</x:v>
      </x:c>
      <x:c r="L118" s="8" t="n">
        <x:v>1</x:v>
      </x:c>
      <x:c r="M118" s="8" t="n">
        <x:v>0</x:v>
      </x:c>
      <x:c r="N118" s="7" t="str">
        <x:v>date</x:v>
      </x:c>
      <x:c r="O118" s="7" t="str">
        <x:v>{"status":"draft","module":"schedule","title":{"containsAny":["dinner"]},"date":"2026-10-09","time":null}</x:v>
      </x:c>
      <x:c r="P118" s="7" t="str">
        <x:v>{"status":"draft","reason":null,"module":"schedule","draft":null,"fields":{"id":"92deff66-fea9-4801-8cd4-7c6f9eaf3f83","title":"Friday dinner gathering","notes":"6pm or 7pm","date":null,"time":null,"amount":null,"kind":null,"category":null,"account":null,"timezone":"America/Los_Angeles"}}</x:v>
      </x:c>
      <x:c r="Q118" s="7" t="str">
        <x:v>{"intent":"single_task","module":"schedule","title":"Friday dinner gathering","notes":"6pm or 7pm","date_text":"Friday","time_text":"6pm or 7pm"}</x:v>
      </x:c>
      <x:c r="R118" s="8" t="n">
        <x:v>1</x:v>
      </x:c>
      <x:c r="S118" s="8" t="n">
        <x:v>1</x:v>
      </x:c>
      <x:c r="T118" s="8" t="n">
        <x:v>1</x:v>
      </x:c>
      <x:c r="U118" s="8" t="n">
        <x:v>0</x:v>
      </x:c>
      <x:c r="V118" s="7" t="str">
        <x:v>uncertain_time</x:v>
      </x:c>
    </x:row>
    <x:row r="119" ht="88" customHeight="1">
      <x:c r="A119" s="7" t="str">
        <x:v>mh4-memo-en-30</x:v>
      </x:c>
      <x:c r="B119" s="7" t="str">
        <x:v>memo</x:v>
      </x:c>
      <x:c r="C119" s="7" t="str">
        <x:v>Cheers, that is all I needed.</x:v>
      </x:c>
      <x:c r="D119" s="7" t="str">
        <x:v>clarification</x:v>
      </x:c>
      <x:c r="E119" s="7" t="str"/>
      <x:c r="F119" s="7" t="str">
        <x:v>clarification</x:v>
      </x:c>
      <x:c r="G119" s="7" t="str"/>
      <x:c r="H119" s="8" t="n">
        <x:v>1</x:v>
      </x:c>
      <x:c r="I119" s="8" t="n">
        <x:v>0</x:v>
      </x:c>
      <x:c r="J119" s="8" t="n">
        <x:v>0</x:v>
      </x:c>
      <x:c r="K119" s="8" t="n">
        <x:v>1</x:v>
      </x:c>
      <x:c r="L119" s="8" t="n">
        <x:v>0</x:v>
      </x:c>
      <x:c r="M119" s="8" t="n">
        <x:v>0</x:v>
      </x:c>
      <x:c r="N119" s="7" t="str"/>
      <x:c r="O119" s="7" t="str">
        <x:v>{"status":"clarification","module":null}</x:v>
      </x:c>
      <x:c r="P119" s="7" t="str">
        <x:v>{"status":"clarification","reason":"single_task","module":null,"draft":null,"fields":null}</x:v>
      </x:c>
      <x:c r="Q119" s="7" t="str">
        <x:v>{"intent":"single_task","module":"unclear","title":null,"notes":"Cheers, that is all I needed."}</x:v>
      </x:c>
      <x:c r="R119" s="8" t="n">
        <x:v>1</x:v>
      </x:c>
      <x:c r="S119" s="8" t="n">
        <x:v>1</x:v>
      </x:c>
      <x:c r="T119" s="8" t="n">
        <x:v>0</x:v>
      </x:c>
      <x:c r="U119" s="8" t="n">
        <x:v>0</x:v>
      </x:c>
      <x:c r="V119" s="7" t="str">
        <x:v>smalltalk</x:v>
      </x:c>
    </x:row>
    <x:row r="120" ht="88" customHeight="1">
      <x:c r="A120" s="7" t="str">
        <x:v>mh4-memo-en-21</x:v>
      </x:c>
      <x:c r="B120" s="7" t="str">
        <x:v>memo</x:v>
      </x:c>
      <x:c r="C120" s="7" t="str">
        <x:v>Create an important task to hand in the parking permit today.</x:v>
      </x:c>
      <x:c r="D120" s="7" t="str">
        <x:v>draft</x:v>
      </x:c>
      <x:c r="E120" s="7" t="str">
        <x:v>memo</x:v>
      </x:c>
      <x:c r="F120" s="7" t="str">
        <x:v>draft</x:v>
      </x:c>
      <x:c r="G120" s="7" t="str">
        <x:v>memo</x:v>
      </x:c>
      <x:c r="H120" s="8" t="n">
        <x:v>1</x:v>
      </x:c>
      <x:c r="I120" s="8" t="n">
        <x:v>1</x:v>
      </x:c>
      <x:c r="J120" s="8" t="n">
        <x:v>1</x:v>
      </x:c>
      <x:c r="K120" s="8" t="n">
        <x:v>1</x:v>
      </x:c>
      <x:c r="L120" s="8" t="n">
        <x:v>1</x:v>
      </x:c>
      <x:c r="M120" s="8" t="n">
        <x:v>1</x:v>
      </x:c>
      <x:c r="N120" s="7" t="str"/>
      <x:c r="O120" s="7" t="str">
        <x:v>{"status":"draft","module":"memo","title":{"containsAny":["parking","permit"]},"date":"2026-10-06","priority":"important"}</x:v>
      </x:c>
      <x:c r="P120" s="7" t="str">
        <x:v>{"status":"draft","reason":null,"draft":{"id":"a249ae29-367a-4b0f-9e4a-4aa18a61fe70","title":"Hand in Parking Permit","notes":"today","dueDate":"2026-10-06","timezone":"America/Los_Angeles","priority":"important","dateText":"today","warnings":[]},"module":"memo","fields":null}</x:v>
      </x:c>
      <x:c r="Q120" s="7" t="str">
        <x:v>{"intent":"single_task","module":"memo","title":"Hand in Parking Permit","notes":"today","priority":"important"}</x:v>
      </x:c>
      <x:c r="R120" s="8" t="n">
        <x:v>1</x:v>
      </x:c>
      <x:c r="S120" s="8" t="n">
        <x:v>1</x:v>
      </x:c>
      <x:c r="T120" s="8" t="n">
        <x:v>1</x:v>
      </x:c>
      <x:c r="U120" s="8" t="n">
        <x:v>1</x:v>
      </x:c>
      <x:c r="V120" s="7" t="str">
        <x:v>timezone_boundary</x:v>
      </x:c>
    </x:row>
    <x:row r="121" ht="88" customHeight="1">
      <x:c r="A121" s="7" t="str">
        <x:v>mh4-health-en-27</x:v>
      </x:c>
      <x:c r="B121" s="7" t="str">
        <x:v>health</x:v>
      </x:c>
      <x:c r="C121" s="7" t="str">
        <x:v>Open the Health statistics and then log today's 16-yuan breakfast expense.</x:v>
      </x:c>
      <x:c r="D121" s="7" t="str">
        <x:v>clarification</x:v>
      </x:c>
      <x:c r="E121" s="7" t="str"/>
      <x:c r="F121" s="7" t="str">
        <x:v>clarification</x:v>
      </x:c>
      <x:c r="G121" s="7" t="str"/>
      <x:c r="H121" s="8" t="n">
        <x:v>1</x:v>
      </x:c>
      <x:c r="I121" s="8" t="n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0</x:v>
      </x:c>
      <x:c r="N121" s="7" t="str"/>
      <x:c r="O121" s="7" t="str">
        <x:v>{"status":"clarification","module":null}</x:v>
      </x:c>
      <x:c r="P121" s="7" t="str">
        <x:v>{"status":"clarification","reason":"multiple_tasks","module":null,"draft":null,"fields":null}</x:v>
      </x:c>
      <x:c r="Q121" s="7" t="str"/>
      <x:c r="R121" s="8" t="n">
        <x:v>0</x:v>
      </x:c>
      <x:c r="S121" s="8"/>
      <x:c r="T121" s="8" t="n">
        <x:v>0</x:v>
      </x:c>
      <x:c r="U121" s="8" t="n">
        <x:v>0</x:v>
      </x:c>
      <x:c r="V121" s="7" t="str">
        <x:v>multiple_actions</x:v>
      </x:c>
    </x:row>
    <x:row r="122" ht="88" customHeight="1">
      <x:c r="A122" s="7" t="str">
        <x:v>mh4-health-en-25</x:v>
      </x:c>
      <x:c r="B122" s="7" t="str">
        <x:v>health</x:v>
      </x:c>
      <x:c r="C122" s="7" t="str">
        <x:v>Calculate total usage per app for last month.</x:v>
      </x:c>
      <x:c r="D122" s="7" t="str">
        <x:v>clarification</x:v>
      </x:c>
      <x:c r="E122" s="7" t="str"/>
      <x:c r="F122" s="7" t="str">
        <x:v>clarification</x:v>
      </x:c>
      <x:c r="G122" s="7" t="str"/>
      <x:c r="H122" s="8" t="n">
        <x:v>1</x:v>
      </x:c>
      <x:c r="I122" s="8" t="n">
        <x:v>0</x:v>
      </x:c>
      <x:c r="J122" s="8" t="n">
        <x:v>0</x:v>
      </x:c>
      <x:c r="K122" s="8" t="n">
        <x:v>1</x:v>
      </x:c>
      <x:c r="L122" s="8" t="n">
        <x:v>0</x:v>
      </x:c>
      <x:c r="M122" s="8" t="n">
        <x:v>0</x:v>
      </x:c>
      <x:c r="N122" s="7" t="str"/>
      <x:c r="O122" s="7" t="str">
        <x:v>{"status":"clarification","module":null}</x:v>
      </x:c>
      <x:c r="P122" s="7" t="str">
        <x:v>{"status":"clarification","reason":"unsupported_action","module":null,"draft":null,"fields":null}</x:v>
      </x:c>
      <x:c r="Q122" s="7" t="str"/>
      <x:c r="R122" s="8" t="n">
        <x:v>0</x:v>
      </x:c>
      <x:c r="S122" s="8"/>
      <x:c r="T122" s="8" t="n">
        <x:v>0</x:v>
      </x:c>
      <x:c r="U122" s="8" t="n">
        <x:v>0</x:v>
      </x:c>
      <x:c r="V122" s="7" t="str">
        <x:v>historical_usage</x:v>
      </x:c>
    </x:row>
    <x:row r="123" ht="88" customHeight="1">
      <x:c r="A123" s="7" t="str">
        <x:v>mh4-schedule-en-23</x:v>
      </x:c>
      <x:c r="B123" s="7" t="str">
        <x:v>schedule</x:v>
      </x:c>
      <x:c r="C123" s="7" t="str">
        <x:v>Create an annual equipment inspection on 2028-02-29 at 8am.</x:v>
      </x:c>
      <x:c r="D123" s="7" t="str">
        <x:v>draft</x:v>
      </x:c>
      <x:c r="E123" s="7" t="str">
        <x:v>schedule</x:v>
      </x:c>
      <x:c r="F123" s="7" t="str">
        <x:v>draft</x:v>
      </x:c>
      <x:c r="G123" s="7" t="str">
        <x:v>schedule</x:v>
      </x:c>
      <x:c r="H123" s="8" t="n">
        <x:v>1</x:v>
      </x:c>
      <x:c r="I123" s="8" t="n">
        <x:v>2</x:v>
      </x:c>
      <x:c r="J123" s="8" t="n">
        <x:v>2</x:v>
      </x:c>
      <x:c r="K123" s="8" t="n">
        <x:v>1</x:v>
      </x:c>
      <x:c r="L123" s="8" t="n">
        <x:v>1</x:v>
      </x:c>
      <x:c r="M123" s="8" t="n">
        <x:v>1</x:v>
      </x:c>
      <x:c r="N123" s="7" t="str"/>
      <x:c r="O123" s="7" t="str">
        <x:v>{"status":"draft","module":"schedule","title":{"containsAny":["equipment"]},"date":"2028-02-29","time":"08:00"}</x:v>
      </x:c>
      <x:c r="P123" s="7" t="str">
        <x:v>{"status":"draft","reason":null,"module":"schedule","draft":null,"fields":{"id":"00c4c2b7-7e4a-4cf5-88f1-c3b30c27ab4d","title":"Annual Equipment Inspection","notes":"","date":"2028-02-29","time":"08:00","amount":null,"kind":null,"category":null,"account":null,"timezone":"America/Los_Angeles"}}</x:v>
      </x:c>
      <x:c r="Q123" s="7" t="str">
        <x:v>{
  "intent": "single_task",
  "module": "schedule",
  "title": "Annual Equipment Inspection",
  "notes": "",
  "date_text": "2028-02-29",
  "time_text": "08:00"
}</x:v>
      </x:c>
      <x:c r="R123" s="8" t="n">
        <x:v>1</x:v>
      </x:c>
      <x:c r="S123" s="8" t="n">
        <x:v>1</x:v>
      </x:c>
      <x:c r="T123" s="8" t="n">
        <x:v>1</x:v>
      </x:c>
      <x:c r="U123" s="8" t="n">
        <x:v>1</x:v>
      </x:c>
      <x:c r="V123" s="7" t="str">
        <x:v>leap_day</x:v>
      </x:c>
    </x:row>
  </x:sheetData>
  <x:conditionalFormatting sqref="K4:K123">
    <x:cfRule type="cellIs" dxfId="1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59611a26644a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失败明细 冻结首测明细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mh4-schedule-zh-27</x:v>
      </x:c>
      <x:c r="B4" s="7" t="str">
        <x:v>schedule</x:v>
      </x:c>
      <x:c r="C4" s="7" t="str">
        <x:v>我明天有什么安排，列给我看看。</x:v>
      </x:c>
      <x:c r="D4" s="7" t="str">
        <x:v>clarification</x:v>
      </x:c>
      <x:c r="E4" s="7" t="str"/>
      <x:c r="F4" s="7" t="str">
        <x:v>draft</x:v>
      </x:c>
      <x:c r="G4" s="7" t="str">
        <x:v>schedule</x:v>
      </x:c>
      <x:c r="H4" s="8" t="n">
        <x:v>0</x:v>
      </x:c>
      <x:c r="I4" s="8" t="n">
        <x:v>0</x:v>
      </x:c>
      <x:c r="J4" s="8" t="n">
        <x:v>0</x:v>
      </x:c>
      <x:c r="K4" s="8" t="n">
        <x:v>0</x:v>
      </x:c>
      <x:c r="L4" s="8" t="n">
        <x:v>0</x:v>
      </x:c>
      <x:c r="M4" s="8" t="n">
        <x:v>0</x:v>
      </x:c>
      <x:c r="N4" s="7" t="str">
        <x:v>status, module</x:v>
      </x:c>
      <x:c r="O4" s="7" t="str">
        <x:v>{"status":"clarification","module":null}</x:v>
      </x:c>
      <x:c r="P4" s="7" t="str">
        <x:v>{"status":"draft","reason":null,"module":"schedule","draft":null,"fields":{"id":"9465112f-7cd3-4187-bc4a-2010c34e8ce6","title":"明天的安排","notes":"","date":"2026-10-07","time":null,"amount":null,"kind":null,"category":null,"account":null,"timezone":"Asia/Shanghai"}}</x:v>
      </x:c>
      <x:c r="Q4" s="7" t="str">
        <x:v>{"intent":"single_task","module":"schedule","title":"明天的安排","notes":""}</x:v>
      </x:c>
      <x:c r="R4" s="8" t="n">
        <x:v>1</x:v>
      </x:c>
      <x:c r="S4" s="8" t="n">
        <x:v>0</x:v>
      </x:c>
      <x:c r="T4" s="8" t="n">
        <x:v>0</x:v>
      </x:c>
      <x:c r="U4" s="8" t="n">
        <x:v>0</x:v>
      </x:c>
      <x:c r="V4" s="7" t="str">
        <x:v>unsupported_query</x:v>
      </x:c>
    </x:row>
    <x:row r="5" ht="88" customHeight="1">
      <x:c r="A5" s="7" t="str">
        <x:v>mh4-finance-en-03</x:v>
      </x:c>
      <x:c r="B5" s="7" t="str">
        <x:v>finance</x:v>
      </x:c>
      <x:c r="C5" s="7" t="str">
        <x:v>Shopping expense: a jacket today, 245 yuan, charged to my credit card.</x:v>
      </x:c>
      <x:c r="D5" s="7" t="str">
        <x:v>draft</x:v>
      </x:c>
      <x:c r="E5" s="7" t="str">
        <x:v>finance</x:v>
      </x:c>
      <x:c r="F5" s="7" t="str">
        <x:v>draft</x:v>
      </x:c>
      <x:c r="G5" s="7" t="str">
        <x:v>finance</x:v>
      </x:c>
      <x:c r="H5" s="8" t="n">
        <x:v>1</x:v>
      </x:c>
      <x:c r="I5" s="8" t="n">
        <x:v>5</x:v>
      </x:c>
      <x:c r="J5" s="8" t="n">
        <x:v>6</x:v>
      </x:c>
      <x:c r="K5" s="8" t="n">
        <x:v>0</x:v>
      </x:c>
      <x:c r="L5" s="8" t="n">
        <x:v>1</x:v>
      </x:c>
      <x:c r="M5" s="8" t="n">
        <x:v>0</x:v>
      </x:c>
      <x:c r="N5" s="7" t="str">
        <x:v>title</x:v>
      </x:c>
      <x:c r="O5" s="7" t="str">
        <x:v>{"status":"draft","module":"finance","title":{"containsAny":["jacket"]},"amount":"245","kind":"expense","category":"Shopping","account":"Credit Card","date":"2026-10-06"}</x:v>
      </x:c>
      <x:c r="P5" s="7" t="str">
        <x:v>{"status":"draft","reason":null,"module":"finance","draft":null,"fields":{"id":"3c32d3ce-1729-473a-91e3-3eee4160e124","title":"Shopping","notes":"a jacket","date":"2026-10-06","time":null,"amount":"245","kind":"expense","category":"Shopping","account":"Credit Card","timezone":"America/Los_Angeles"}}</x:v>
      </x:c>
      <x:c r="Q5" s="7" t="str">
        <x:v>{"intent":"single_task","module":"finance","title":"Shopping","notes":"a jacket","date_text":"today","amount":"245","kind":"expense","category":"Shopping","account":"Credit Card"}</x:v>
      </x:c>
      <x:c r="R5" s="8" t="n">
        <x:v>1</x:v>
      </x:c>
      <x:c r="S5" s="8" t="n">
        <x:v>1</x:v>
      </x:c>
      <x:c r="T5" s="8" t="n">
        <x:v>1</x:v>
      </x:c>
      <x:c r="U5" s="8" t="n">
        <x:v>1</x:v>
      </x:c>
      <x:c r="V5" s="7" t="str">
        <x:v>complete</x:v>
      </x:c>
    </x:row>
    <x:row r="6" ht="90" customHeight="1">
      <x:c r="A6" s="7" t="str">
        <x:v>mh4-health-en-26</x:v>
      </x:c>
      <x:c r="B6" s="7" t="str">
        <x:v>health</x:v>
      </x:c>
      <x:c r="C6" s="7" t="str">
        <x:v>Show today's phone usage and make a task to stop scrolling at 10pm.</x:v>
      </x:c>
      <x:c r="D6" s="7" t="str">
        <x:v>clarification</x:v>
      </x:c>
      <x:c r="E6" s="7" t="str"/>
      <x:c r="F6" s="7" t="str">
        <x:v>draft</x:v>
      </x:c>
      <x:c r="G6" s="7" t="str">
        <x:v>memo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7" t="str">
        <x:v>status, module</x:v>
      </x:c>
      <x:c r="O6" s="7" t="str">
        <x:v>{"status":"clarification","module":null}</x:v>
      </x:c>
      <x:c r="P6" s="7" t="str">
        <x:v>{"status":"draft","reason":null,"draft":{"id":"73965f74-0a41-4502-ad09-0bead2a9fe23","title":"Show today's phone usage and make a task to stop scrolling at 10pm.","notes":"","dueDate":"2026-10-06","timezone":"America/Los_Angeles","priority":null,"dateText":"today","warnings":["priority_missing"]},"module":"memo","fields":null}</x:v>
      </x:c>
      <x:c r="Q6" s="7" t="str">
        <x:v>{"intent":"single_task","module":"health","title":"Show today's phone usage","notes":"","date_text":"today","time_text":"10pm"}</x:v>
      </x:c>
      <x:c r="R6" s="8" t="n">
        <x:v>1</x:v>
      </x:c>
      <x:c r="S6" s="8" t="n">
        <x:v>0</x:v>
      </x:c>
      <x:c r="T6" s="8" t="n">
        <x:v>0</x:v>
      </x:c>
      <x:c r="U6" s="8" t="n">
        <x:v>0</x:v>
      </x:c>
      <x:c r="V6" s="7" t="str">
        <x:v>multiple_actions</x:v>
      </x:c>
    </x:row>
    <x:row r="7" ht="88" customHeight="1">
      <x:c r="A7" s="7" t="str">
        <x:v>mh4-schedule-en-17</x:v>
      </x:c>
      <x:c r="B7" s="7" t="str">
        <x:v>schedule</x:v>
      </x:c>
      <x:c r="C7" s="7" t="str">
        <x:v>Sunday 10:15pm video call with José about the Montréal trip ✈️. Schedule it.</x:v>
      </x:c>
      <x:c r="D7" s="7" t="str">
        <x:v>draft</x:v>
      </x:c>
      <x:c r="E7" s="7" t="str">
        <x:v>schedule</x:v>
      </x:c>
      <x:c r="F7" s="7" t="str">
        <x:v>draft</x:v>
      </x:c>
      <x:c r="G7" s="7" t="str">
        <x:v>schedule</x:v>
      </x:c>
      <x:c r="H7" s="8" t="n">
        <x:v>1</x:v>
      </x:c>
      <x:c r="I7" s="8" t="n">
        <x:v>1</x:v>
      </x:c>
      <x:c r="J7" s="8" t="n">
        <x:v>2</x:v>
      </x:c>
      <x:c r="K7" s="8" t="n">
        <x:v>0</x:v>
      </x:c>
      <x:c r="L7" s="8" t="n">
        <x:v>1</x:v>
      </x:c>
      <x:c r="M7" s="8" t="n">
        <x:v>0</x:v>
      </x:c>
      <x:c r="N7" s="7" t="str">
        <x:v>date</x:v>
      </x:c>
      <x:c r="O7" s="7" t="str">
        <x:v>{"status":"draft","module":"schedule","title":{"containsAny":["José","Montréal","trip"]},"date":"2026-10-11","time":"22:15"}</x:v>
      </x:c>
      <x:c r="P7" s="7" t="str">
        <x:v>{"status":"draft","reason":null,"module":"schedule","draft":null,"fields":{"id":"f5230da2-e9e3-4f7e-bf59-360fa9b0ecd6","title":"Video Call with José","notes":"Montréal trip","date":null,"time":"22:15","amount":null,"kind":null,"category":null,"account":null,"timezone":"America/Los_Angeles"}}</x:v>
      </x:c>
      <x:c r="Q7" s="7" t="str">
        <x:v>{"intent":"single_task","module":"schedule","title":"Video Call with José","notes":"Montréal trip","date_text":"Sunday","time_text":"10:15pm"}</x:v>
      </x:c>
      <x:c r="R7" s="8" t="n">
        <x:v>1</x:v>
      </x:c>
      <x:c r="S7" s="8" t="n">
        <x:v>1</x:v>
      </x:c>
      <x:c r="T7" s="8" t="n">
        <x:v>1</x:v>
      </x:c>
      <x:c r="U7" s="8" t="n">
        <x:v>0</x:v>
      </x:c>
      <x:c r="V7" s="7" t="str">
        <x:v>unicode</x:v>
      </x:c>
    </x:row>
    <x:row r="8" ht="90" customHeight="1">
      <x:c r="A8" s="7" t="str">
        <x:v>mh4-memo-zh-13</x:v>
      </x:c>
      <x:c r="B8" s="7" t="str">
        <x:v>memo</x:v>
      </x:c>
      <x:c r="C8" s="7" t="str">
        <x:v>这周一之前贴好行李标签，先照原话加到待办。</x:v>
      </x:c>
      <x:c r="D8" s="7" t="str">
        <x:v>draft</x:v>
      </x:c>
      <x:c r="E8" s="7" t="str">
        <x:v>memo</x:v>
      </x:c>
      <x:c r="F8" s="7" t="str">
        <x:v>draft</x:v>
      </x:c>
      <x:c r="G8" s="7" t="str">
        <x:v>memo</x:v>
      </x:c>
      <x:c r="H8" s="8" t="n">
        <x:v>1</x:v>
      </x:c>
      <x:c r="I8" s="8" t="n">
        <x:v>0</x:v>
      </x:c>
      <x:c r="J8" s="8" t="n">
        <x:v>1</x:v>
      </x:c>
      <x:c r="K8" s="8" t="n">
        <x:v>0</x:v>
      </x:c>
      <x:c r="L8" s="8" t="n">
        <x:v>1</x:v>
      </x:c>
      <x:c r="M8" s="8" t="n">
        <x:v>0</x:v>
      </x:c>
      <x:c r="N8" s="7" t="str">
        <x:v>title</x:v>
      </x:c>
      <x:c r="O8" s="7" t="str">
        <x:v>{"status":"draft","module":"memo","title":{"containsAny":["行李","标签"]},"date":null,"priority":null}</x:v>
      </x:c>
      <x:c r="P8" s="7" t="str">
        <x:v>{"status":"draft","reason":null,"draft":{"id":"2e211fc3-f0e3-4a1b-9628-b13ae6545f8b","title":"先照原话加到待办","notes":"先照原话加到待办","dueDate":null,"timezone":"Asia/Shanghai","priority":null,"dateText":"这周一","warnings":["past_date","date_needs_review","priority_missing"]},"module":"memo","fields":null}</x:v>
      </x:c>
      <x:c r="Q8" s="7" t="str">
        <x:v>{"intent":"single_task","module":"schedule","title":"贴行李标签","notes":"先照原话加到待办","date_text":"这周一之前"}</x:v>
      </x:c>
      <x:c r="R8" s="8" t="n">
        <x:v>1</x:v>
      </x:c>
      <x:c r="S8" s="8" t="n">
        <x:v>0</x:v>
      </x:c>
      <x:c r="T8" s="8" t="n">
        <x:v>1</x:v>
      </x:c>
      <x:c r="U8" s="8" t="n">
        <x:v>1</x:v>
      </x:c>
      <x:c r="V8" s="7" t="str">
        <x:v>past_deadline</x:v>
      </x:c>
    </x:row>
    <x:row r="9" ht="90" customHeight="1">
      <x:c r="A9" s="7" t="str">
        <x:v>mh4-finance-zh-28</x:v>
      </x:c>
      <x:c r="B9" s="7" t="str">
        <x:v>finance</x:v>
      </x:c>
      <x:c r="C9" s="7" t="str">
        <x:v>先记今天9元早餐，再记18元晚饭，两笔都用微信。</x:v>
      </x:c>
      <x:c r="D9" s="7" t="str">
        <x:v>clarification</x:v>
      </x:c>
      <x:c r="E9" s="7" t="str"/>
      <x:c r="F9" s="7" t="str"/>
      <x:c r="G9" s="7" t="str"/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7" t="str">
        <x:v>ValueError</x:v>
      </x:c>
      <x:c r="O9" s="7" t="str">
        <x:v>{"status":"clarification","module":null}</x:v>
      </x:c>
      <x:c r="P9" s="7" t="str">
        <x:v>{}</x:v>
      </x:c>
      <x:c r="Q9" s="7" t="str">
        <x:v>{"intent":"single_task","module":"finance","title":"早餐","notes":"9元","date_text":"今天","amount":"9","kind":"expense","category":"Food &amp; Drinks","account":"WeChat"}  
{"intent":"single_task","module":"finance","title":"晚饭","notes":"18元","date_text":"今天","amount":"18","kind":"expense","category":"Food &amp; Drinks","account":"WeChat"}</x:v>
      </x:c>
      <x:c r="R9" s="8" t="n">
        <x:v>1</x:v>
      </x:c>
      <x:c r="S9" s="8" t="n">
        <x:v>0</x:v>
      </x:c>
      <x:c r="T9" s="8" t="n">
        <x:v>0</x:v>
      </x:c>
      <x:c r="U9" s="8" t="n">
        <x:v>0</x:v>
      </x:c>
      <x:c r="V9" s="7" t="str">
        <x:v>multiple_actions</x:v>
      </x:c>
    </x:row>
    <x:row r="10" ht="88" customHeight="1">
      <x:c r="A10" s="7" t="str">
        <x:v>mh4-health-en-13</x:v>
      </x:c>
      <x:c r="B10" s="7" t="str">
        <x:v>health</x:v>
      </x:c>
      <x:c r="C10" s="7" t="str">
        <x:v>Not my bank balance: I want to see the time I spent using this phone today.</x:v>
      </x:c>
      <x:c r="D10" s="7" t="str">
        <x:v>draft</x:v>
      </x:c>
      <x:c r="E10" s="7" t="str">
        <x:v>health</x:v>
      </x:c>
      <x:c r="F10" s="7" t="str">
        <x:v>draft</x:v>
      </x:c>
      <x:c r="G10" s="7" t="str">
        <x:v>finance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1</x:v>
      </x:c>
      <x:c r="M10" s="8" t="n">
        <x:v>0</x:v>
      </x:c>
      <x:c r="N10" s="7" t="str">
        <x:v>module</x:v>
      </x:c>
      <x:c r="O10" s="7" t="str">
        <x:v>{"status":"draft","module":"health"}</x:v>
      </x:c>
      <x:c r="P10" s="7" t="str">
        <x:v>{"status":"draft","reason":null,"module":"finance","draft":null,"fields":{"id":"c648b74f-07e0-47f1-8aab-996c889aca09","title":"查看手机使用时长","notes":"","date":"2026-10-06","time":null,"amount":null,"kind":null,"category":null,"account":null,"timezone":"America/Los_Angeles"}}</x:v>
      </x:c>
      <x:c r="Q10" s="7" t="str">
        <x:v>{"intent":"single_task","module":"health","title":"查看手机使用时长","notes":""}</x:v>
      </x:c>
      <x:c r="R10" s="8" t="n">
        <x:v>1</x:v>
      </x:c>
      <x:c r="S10" s="8" t="n">
        <x:v>1</x:v>
      </x:c>
      <x:c r="T10" s="8" t="n">
        <x:v>0</x:v>
      </x:c>
      <x:c r="U10" s="8" t="n">
        <x:v>0</x:v>
      </x:c>
      <x:c r="V10" s="7" t="str">
        <x:v>cross_module</x:v>
      </x:c>
    </x:row>
    <x:row r="11" ht="88" customHeight="1">
      <x:c r="A11" s="7" t="str">
        <x:v>mh4-health-en-06</x:v>
      </x:c>
      <x:c r="B11" s="7" t="str">
        <x:v>health</x:v>
      </x:c>
      <x:c r="C11" s="7" t="str">
        <x:v>Show me the application usage records on this phone.</x:v>
      </x:c>
      <x:c r="D11" s="7" t="str">
        <x:v>draft</x:v>
      </x:c>
      <x:c r="E11" s="7" t="str">
        <x:v>health</x:v>
      </x:c>
      <x:c r="F11" s="7" t="str">
        <x:v>clarification</x:v>
      </x:c>
      <x:c r="G11" s="7" t="str"/>
      <x:c r="H11" s="8" t="n">
        <x:v>0</x:v>
      </x:c>
      <x:c r="I11" s="8" t="n">
        <x:v>0</x:v>
      </x:c>
      <x:c r="J11" s="8" t="n">
        <x:v>0</x:v>
      </x:c>
      <x:c r="K11" s="8" t="n">
        <x:v>0</x:v>
      </x:c>
      <x:c r="L11" s="8" t="n">
        <x:v>1</x:v>
      </x:c>
      <x:c r="M11" s="8" t="n">
        <x:v>0</x:v>
      </x:c>
      <x:c r="N11" s="7" t="str">
        <x:v>status, module</x:v>
      </x:c>
      <x:c r="O11" s="7" t="str">
        <x:v>{"status":"draft","module":"health"}</x:v>
      </x:c>
      <x:c r="P11" s="7" t="str">
        <x:v>{"status":"clarification","reason":"health_unsupported","module":null,"draft":null,"fields":null}</x:v>
      </x:c>
      <x:c r="Q11" s="7" t="str">
        <x:v>{"intent":"single_task","module":"health","title":"查看手机使用时长","notes":""}</x:v>
      </x:c>
      <x:c r="R11" s="8" t="n">
        <x:v>1</x:v>
      </x:c>
      <x:c r="S11" s="8" t="n">
        <x:v>1</x:v>
      </x:c>
      <x:c r="T11" s="8" t="n">
        <x:v>0</x:v>
      </x:c>
      <x:c r="U11" s="8" t="n">
        <x:v>0</x:v>
      </x:c>
      <x:c r="V11" s="7" t="str">
        <x:v>usage_query</x:v>
      </x:c>
    </x:row>
    <x:row r="12" ht="88" customHeight="1">
      <x:c r="A12" s="7" t="str">
        <x:v>mh4-finance-zh-27</x:v>
      </x:c>
      <x:c r="B12" s="7" t="str">
        <x:v>finance</x:v>
      </x:c>
      <x:c r="C12" s="7" t="str">
        <x:v>把今天所有娱乐支出加起来给我看。</x:v>
      </x:c>
      <x:c r="D12" s="7" t="str">
        <x:v>clarification</x:v>
      </x:c>
      <x:c r="E12" s="7" t="str"/>
      <x:c r="F12" s="7" t="str">
        <x:v>draft</x:v>
      </x:c>
      <x:c r="G12" s="7" t="str">
        <x:v>finance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  <x:c r="N12" s="7" t="str">
        <x:v>status, module</x:v>
      </x:c>
      <x:c r="O12" s="7" t="str">
        <x:v>{"status":"clarification","module":null}</x:v>
      </x:c>
      <x:c r="P12" s="7" t="str">
        <x:v>{"status":"draft","reason":null,"module":"finance","draft":null,"fields":{"id":"39e34f0a-897c-4810-b7b4-060cfe64d6cd","title":"娱乐支出","notes":"","date":"2026-10-06","time":null,"amount":null,"kind":"expense","category":"Entertainment","account":null,"timezone":"Asia/Shanghai"}}</x:v>
      </x:c>
      <x:c r="Q12" s="7" t="str">
        <x:v>{"intent":"single_task","module":"finance","title":"娱乐支出","notes":"","date_text":"今天","category":"Entertainment","kind":"expense"}</x:v>
      </x:c>
      <x:c r="R12" s="8" t="n">
        <x:v>1</x:v>
      </x:c>
      <x:c r="S12" s="8" t="n">
        <x:v>0</x:v>
      </x:c>
      <x:c r="T12" s="8" t="n">
        <x:v>0</x:v>
      </x:c>
      <x:c r="U12" s="8" t="n">
        <x:v>0</x:v>
      </x:c>
      <x:c r="V12" s="7" t="str">
        <x:v>unsupported_query</x:v>
      </x:c>
    </x:row>
    <x:row r="13" ht="88" customHeight="1">
      <x:c r="A13" s="7" t="str">
        <x:v>mh4-finance-zh-24</x:v>
      </x:c>
      <x:c r="B13" s="7" t="str">
        <x:v>finance</x:v>
      </x:c>
      <x:c r="C13" s="7" t="str">
        <x:v>今天给宽带续费99元，银行卡支付。</x:v>
      </x:c>
      <x:c r="D13" s="7" t="str">
        <x:v>draft</x:v>
      </x:c>
      <x:c r="E13" s="7" t="str">
        <x:v>finance</x:v>
      </x:c>
      <x:c r="F13" s="7" t="str">
        <x:v>draft</x:v>
      </x:c>
      <x:c r="G13" s="7" t="str">
        <x:v>finance</x:v>
      </x:c>
      <x:c r="H13" s="8" t="n">
        <x:v>1</x:v>
      </x:c>
      <x:c r="I13" s="8" t="n">
        <x:v>5</x:v>
      </x:c>
      <x:c r="J13" s="8" t="n">
        <x:v>6</x:v>
      </x:c>
      <x:c r="K13" s="8" t="n">
        <x:v>0</x:v>
      </x:c>
      <x:c r="L13" s="8" t="n">
        <x:v>1</x:v>
      </x:c>
      <x:c r="M13" s="8" t="n">
        <x:v>0</x:v>
      </x:c>
      <x:c r="N13" s="7" t="str">
        <x:v>category</x:v>
      </x:c>
      <x:c r="O13" s="7" t="str">
        <x:v>{"status":"draft","module":"finance","title":{"containsAny":["宽带"]},"amount":"99","kind":"expense","category":"Bills","account":"Bank Card","date":"2026-10-07"}</x:v>
      </x:c>
      <x:c r="P13" s="7" t="str">
        <x:v>{"status":"draft","reason":null,"module":"finance","draft":null,"fields":{"id":"e2fb6209-f625-422f-85bc-c5b5f9430797","title":"宽带续费","notes":"","date":"2026-10-07","time":null,"amount":"99","kind":"expense","category":"Others","account":"Bank Card","timezone":"Asia/Shanghai"}}</x:v>
      </x:c>
      <x:c r="Q13" s="7" t="str">
        <x:v>{"intent":"single_task","module":"finance","title":"宽带续费","notes":"","date_text":"今天","amount":"99","kind":"expense","category":"Others","account":"Bank Card"}</x:v>
      </x:c>
      <x:c r="R13" s="8" t="n">
        <x:v>1</x:v>
      </x:c>
      <x:c r="S13" s="8" t="n">
        <x:v>1</x:v>
      </x:c>
      <x:c r="T13" s="8" t="n">
        <x:v>1</x:v>
      </x:c>
      <x:c r="U13" s="8" t="n">
        <x:v>1</x:v>
      </x:c>
      <x:c r="V13" s="7" t="str">
        <x:v>timezone_boundary</x:v>
      </x:c>
    </x:row>
    <x:row r="14" ht="88" customHeight="1">
      <x:c r="A14" s="7" t="str">
        <x:v>mh4-health-zh-07</x:v>
      </x:c>
      <x:c r="B14" s="7" t="str">
        <x:v>health</x:v>
      </x:c>
      <x:c r="C14" s="7" t="str">
        <x:v>去Health，看看我今天的screen time。</x:v>
      </x:c>
      <x:c r="D14" s="7" t="str">
        <x:v>draft</x:v>
      </x:c>
      <x:c r="E14" s="7" t="str">
        <x:v>health</x:v>
      </x:c>
      <x:c r="F14" s="7" t="str">
        <x:v>clarification</x:v>
      </x:c>
      <x:c r="G14" s="7" t="str"/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1</x:v>
      </x:c>
      <x:c r="M14" s="8" t="n">
        <x:v>0</x:v>
      </x:c>
      <x:c r="N14" s="7" t="str">
        <x:v>status, module</x:v>
      </x:c>
      <x:c r="O14" s="7" t="str">
        <x:v>{"status":"draft","module":"health"}</x:v>
      </x:c>
      <x:c r="P14" s="7" t="str">
        <x:v>{"status":"clarification","reason":"health_unsupported","module":null,"draft":null,"fields":null}</x:v>
      </x:c>
      <x:c r="Q14" s="7" t="str">
        <x:v>{"intent":"single_task","module":"health","title":"查看手机使用时长","notes":""}</x:v>
      </x:c>
      <x:c r="R14" s="8" t="n">
        <x:v>1</x:v>
      </x:c>
      <x:c r="S14" s="8" t="n">
        <x:v>1</x:v>
      </x:c>
      <x:c r="T14" s="8" t="n">
        <x:v>0</x:v>
      </x:c>
      <x:c r="U14" s="8" t="n">
        <x:v>0</x:v>
      </x:c>
      <x:c r="V14" s="7" t="str">
        <x:v>mixed_language</x:v>
      </x:c>
    </x:row>
    <x:row r="15" ht="88" customHeight="1">
      <x:c r="A15" s="7" t="str">
        <x:v>mh4-finance-zh-17</x:v>
      </x:c>
      <x:c r="B15" s="7" t="str">
        <x:v>finance</x:v>
      </x:c>
      <x:c r="C15" s="7" t="str">
        <x:v>今天咖啡花了十四元，现金，金额不确定可以让我补。</x:v>
      </x:c>
      <x:c r="D15" s="7" t="str">
        <x:v>draft</x:v>
      </x:c>
      <x:c r="E15" s="7" t="str">
        <x:v>finance</x:v>
      </x:c>
      <x:c r="F15" s="7" t="str">
        <x:v>draft</x:v>
      </x:c>
      <x:c r="G15" s="7" t="str">
        <x:v>finance</x:v>
      </x:c>
      <x:c r="H15" s="8" t="n">
        <x:v>1</x:v>
      </x:c>
      <x:c r="I15" s="8" t="n">
        <x:v>5</x:v>
      </x:c>
      <x:c r="J15" s="8" t="n">
        <x:v>6</x:v>
      </x:c>
      <x:c r="K15" s="8" t="n">
        <x:v>0</x:v>
      </x:c>
      <x:c r="L15" s="8" t="n">
        <x:v>1</x:v>
      </x:c>
      <x:c r="M15" s="8" t="n">
        <x:v>0</x:v>
      </x:c>
      <x:c r="N15" s="7" t="str">
        <x:v>kind</x:v>
      </x:c>
      <x:c r="O15" s="7" t="str">
        <x:v>{"status":"draft","module":"finance","title":{"containsAny":["咖啡"]},"amount":null,"kind":"expense","category":"Food &amp; Drinks","account":"Cash","date":"2026-10-06"}</x:v>
      </x:c>
      <x:c r="P15" s="7" t="str">
        <x:v>{"status":"draft","reason":null,"module":"finance","draft":null,"fields":{"id":"50f28672-1526-4b0b-abb6-f3a80b9e8919","title":"咖啡","notes":"金额不确定","date":"2026-10-06","time":null,"amount":null,"kind":null,"category":"Food &amp; Drinks","account":"Cash","timezone":"Asia/Shanghai"}}</x:v>
      </x:c>
      <x:c r="Q15" s="7" t="str">
        <x:v>{"intent":"single_task","module":"finance","title":"咖啡","notes":"金额不确定","date_text":"今天","amount":"14","kind":"expense","category":"Food &amp; Drinks","account":"Cash"}</x:v>
      </x:c>
      <x:c r="R15" s="8" t="n">
        <x:v>1</x:v>
      </x:c>
      <x:c r="S15" s="8" t="n">
        <x:v>1</x:v>
      </x:c>
      <x:c r="T15" s="8" t="n">
        <x:v>1</x:v>
      </x:c>
      <x:c r="U15" s="8" t="n">
        <x:v>1</x:v>
      </x:c>
      <x:c r="V15" s="7" t="str">
        <x:v>written_amount</x:v>
      </x:c>
    </x:row>
    <x:row r="16" ht="88" customHeight="1">
      <x:c r="A16" s="7" t="str">
        <x:v>mh4-health-zh-17</x:v>
      </x:c>
      <x:c r="B16" s="7" t="str">
        <x:v>health</x:v>
      </x:c>
      <x:c r="C16" s="7" t="str">
        <x:v>能不能展示这部手机今日的软件用时排名？</x:v>
      </x:c>
      <x:c r="D16" s="7" t="str">
        <x:v>draft</x:v>
      </x:c>
      <x:c r="E16" s="7" t="str">
        <x:v>health</x:v>
      </x:c>
      <x:c r="F16" s="7" t="str">
        <x:v>clarification</x:v>
      </x:c>
      <x:c r="G16" s="7" t="str"/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8" t="n">
        <x:v>1</x:v>
      </x:c>
      <x:c r="M16" s="8" t="n">
        <x:v>0</x:v>
      </x:c>
      <x:c r="N16" s="7" t="str">
        <x:v>status, module</x:v>
      </x:c>
      <x:c r="O16" s="7" t="str">
        <x:v>{"status":"draft","module":"health"}</x:v>
      </x:c>
      <x:c r="P16" s="7" t="str">
        <x:v>{"status":"clarification","reason":"health_unsupported","module":null,"draft":null,"fields":null}</x:v>
      </x:c>
      <x:c r="Q16" s="7" t="str">
        <x:v>{"intent":"single_task","module":"health","title":"查看手机软件用时排名","notes":""}</x:v>
      </x:c>
      <x:c r="R16" s="8" t="n">
        <x:v>1</x:v>
      </x:c>
      <x:c r="S16" s="8" t="n">
        <x:v>1</x:v>
      </x:c>
      <x:c r="T16" s="8" t="n">
        <x:v>0</x:v>
      </x:c>
      <x:c r="U16" s="8" t="n">
        <x:v>0</x:v>
      </x:c>
      <x:c r="V16" s="7" t="str">
        <x:v>app_breakdown</x:v>
      </x:c>
    </x:row>
    <x:row r="17" ht="88" customHeight="1">
      <x:c r="A17" s="7" t="str">
        <x:v>mh4-health-zh-22</x:v>
      </x:c>
      <x:c r="B17" s="7" t="str">
        <x:v>health</x:v>
      </x:c>
      <x:c r="C17" s="7" t="str">
        <x:v>替我把游戏应用锁定到明天。</x:v>
      </x:c>
      <x:c r="D17" s="7" t="str">
        <x:v>clarification</x:v>
      </x:c>
      <x:c r="E17" s="7" t="str"/>
      <x:c r="F17" s="7" t="str">
        <x:v>draft</x:v>
      </x:c>
      <x:c r="G17" s="7" t="str">
        <x:v>schedule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7" t="str">
        <x:v>status, module</x:v>
      </x:c>
      <x:c r="O17" s="7" t="str">
        <x:v>{"status":"clarification","module":null}</x:v>
      </x:c>
      <x:c r="P17" s="7" t="str">
        <x:v>{"status":"draft","reason":null,"module":"schedule","draft":null,"fields":{"id":"b0513126-295b-487a-ad19-ebbc220c45e7","title":"游戏应用锁定","notes":"明天","date":"2026-10-07","time":null,"amount":null,"kind":null,"category":null,"account":null,"timezone":"Asia/Shanghai"}}</x:v>
      </x:c>
      <x:c r="Q17" s="7" t="str">
        <x:v>{"intent":"single_task","module":"schedule","title":"游戏应用锁定","notes":"明天","time_text":"明天"}</x:v>
      </x:c>
      <x:c r="R17" s="8" t="n">
        <x:v>1</x:v>
      </x:c>
      <x:c r="S17" s="8" t="n">
        <x:v>0</x:v>
      </x:c>
      <x:c r="T17" s="8" t="n">
        <x:v>0</x:v>
      </x:c>
      <x:c r="U17" s="8" t="n">
        <x:v>0</x:v>
      </x:c>
      <x:c r="V17" s="7" t="str">
        <x:v>device_control</x:v>
      </x:c>
    </x:row>
    <x:row r="18" ht="88" customHeight="1">
      <x:c r="A18" s="7" t="str">
        <x:v>mh4-finance-en-12</x:v>
      </x:c>
      <x:c r="B18" s="7" t="str">
        <x:v>finance</x:v>
      </x:c>
      <x:c r="C18" s="7" t="str">
        <x:v>Lunch today was 27 yuan; the payment account escapes me.</x:v>
      </x:c>
      <x:c r="D18" s="7" t="str">
        <x:v>draft</x:v>
      </x:c>
      <x:c r="E18" s="7" t="str">
        <x:v>finance</x:v>
      </x:c>
      <x:c r="F18" s="7" t="str">
        <x:v>draft</x:v>
      </x:c>
      <x:c r="G18" s="7" t="str">
        <x:v>finance</x:v>
      </x:c>
      <x:c r="H18" s="8" t="n">
        <x:v>1</x:v>
      </x:c>
      <x:c r="I18" s="8" t="n">
        <x:v>5</x:v>
      </x:c>
      <x:c r="J18" s="8" t="n">
        <x:v>6</x:v>
      </x:c>
      <x:c r="K18" s="8" t="n">
        <x:v>0</x:v>
      </x:c>
      <x:c r="L18" s="8" t="n">
        <x:v>1</x:v>
      </x:c>
      <x:c r="M18" s="8" t="n">
        <x:v>0</x:v>
      </x:c>
      <x:c r="N18" s="7" t="str">
        <x:v>kind</x:v>
      </x:c>
      <x:c r="O18" s="7" t="str">
        <x:v>{"status":"draft","module":"finance","title":{"containsAny":["lunch"]},"amount":"27","kind":"expense","category":"Food &amp; Drinks","account":null,"date":"2026-10-06"}</x:v>
      </x:c>
      <x:c r="P18" s="7" t="str">
        <x:v>{"status":"draft","reason":null,"module":"finance","draft":null,"fields":{"id":"5ba2b57a-4496-4740-bff6-1a22449841b5","title":"Lunch","notes":"","date":"2026-10-06","time":null,"amount":"27","kind":null,"category":"Food &amp; Drinks","account":null,"timezone":"America/Los_Angeles"}}</x:v>
      </x:c>
      <x:c r="Q18" s="7" t="str">
        <x:v>{"intent":"single_task","module":"finance","title":"Lunch","notes":"","date_text":"today","amount":"27","kind":"expense","category":"Food &amp; Drinks","account":null}</x:v>
      </x:c>
      <x:c r="R18" s="8" t="n">
        <x:v>1</x:v>
      </x:c>
      <x:c r="S18" s="8" t="n">
        <x:v>1</x:v>
      </x:c>
      <x:c r="T18" s="8" t="n">
        <x:v>1</x:v>
      </x:c>
      <x:c r="U18" s="8" t="n">
        <x:v>1</x:v>
      </x:c>
      <x:c r="V18" s="7" t="str">
        <x:v>missing_account</x:v>
      </x:c>
    </x:row>
    <x:row r="19" ht="88" customHeight="1">
      <x:c r="A19" s="7" t="str">
        <x:v>mh4-health-zh-18</x:v>
      </x:c>
      <x:c r="B19" s="7" t="str">
        <x:v>health</x:v>
      </x:c>
      <x:c r="C19" s="7" t="str">
        <x:v>进入已有的Health界面，不要新增任何记录。</x:v>
      </x:c>
      <x:c r="D19" s="7" t="str">
        <x:v>draft</x:v>
      </x:c>
      <x:c r="E19" s="7" t="str">
        <x:v>health</x:v>
      </x:c>
      <x:c r="F19" s="7" t="str">
        <x:v>clarification</x:v>
      </x:c>
      <x:c r="G19" s="7" t="str"/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8" t="n">
        <x:v>1</x:v>
      </x:c>
      <x:c r="M19" s="8" t="n">
        <x:v>0</x:v>
      </x:c>
      <x:c r="N19" s="7" t="str">
        <x:v>status, module</x:v>
      </x:c>
      <x:c r="O19" s="7" t="str">
        <x:v>{"status":"draft","module":"health"}</x:v>
      </x:c>
      <x:c r="P19" s="7" t="str">
        <x:v>{"status":"clarification","reason":"health_unsupported","module":null,"draft":null,"fields":null}</x:v>
      </x:c>
      <x:c r="Q19" s="7" t="str">
        <x:v>{"intent":"single_task","module":"health","title":"查看手机使用时长","notes":""}</x:v>
      </x:c>
      <x:c r="R19" s="8" t="n">
        <x:v>1</x:v>
      </x:c>
      <x:c r="S19" s="8" t="n">
        <x:v>1</x:v>
      </x:c>
      <x:c r="T19" s="8" t="n">
        <x:v>0</x:v>
      </x:c>
      <x:c r="U19" s="8" t="n">
        <x:v>0</x:v>
      </x:c>
      <x:c r="V19" s="7" t="str">
        <x:v>open_page</x:v>
      </x:c>
    </x:row>
    <x:row r="20" ht="90" customHeight="1">
      <x:c r="A20" s="7" t="str">
        <x:v>mh4-schedule-zh-12</x:v>
      </x:c>
      <x:c r="B20" s="7" t="str">
        <x:v>schedule</x:v>
      </x:c>
      <x:c r="C20" s="7" t="str">
        <x:v>不是设待办，请直接做日程草稿：周六早上八点半骑行集合。</x:v>
      </x:c>
      <x:c r="D20" s="7" t="str">
        <x:v>draft</x:v>
      </x:c>
      <x:c r="E20" s="7" t="str">
        <x:v>schedule</x:v>
      </x:c>
      <x:c r="F20" s="7" t="str">
        <x:v>draft</x:v>
      </x:c>
      <x:c r="G20" s="7" t="str">
        <x:v>memo</x:v>
      </x:c>
      <x:c r="H20" s="8" t="n">
        <x:v>0</x:v>
      </x:c>
      <x:c r="I20" s="8" t="n">
        <x:v>1</x:v>
      </x:c>
      <x:c r="J20" s="8" t="n">
        <x:v>2</x:v>
      </x:c>
      <x:c r="K20" s="8" t="n">
        <x:v>0</x:v>
      </x:c>
      <x:c r="L20" s="8" t="n">
        <x:v>1</x:v>
      </x:c>
      <x:c r="M20" s="8" t="n">
        <x:v>0</x:v>
      </x:c>
      <x:c r="N20" s="7" t="str">
        <x:v>module, date, time</x:v>
      </x:c>
      <x:c r="O20" s="7" t="str">
        <x:v>{"status":"draft","module":"schedule","title":{"containsAny":["骑行"]},"date":"2026-10-10","time":"08:30"}</x:v>
      </x:c>
      <x:c r="P20" s="7" t="str">
        <x:v>{"status":"draft","reason":null,"draft":{"id":"936669ef-f6a2-4813-a981-fc02806bb905","title":"不是设待办，请直接做日程草稿：周六早上八点半骑行集合","notes":"","dueDate":null,"timezone":"Asia/Shanghai","priority":null,"dateText":"周六","warnings":["date_needs_review","priority_missing"]},"module":"memo","fields":null}</x:v>
      </x:c>
      <x:c r="Q20" s="7" t="str">
        <x:v>{"intent":"single_task","module":"schedule","title":"骑行集合","notes":"","date_text":"周六","time_text":"早上八点半"}</x:v>
      </x:c>
      <x:c r="R20" s="8" t="n">
        <x:v>1</x:v>
      </x:c>
      <x:c r="S20" s="8" t="n">
        <x:v>1</x:v>
      </x:c>
      <x:c r="T20" s="8" t="n">
        <x:v>1</x:v>
      </x:c>
      <x:c r="U20" s="8" t="n">
        <x:v>0</x:v>
      </x:c>
      <x:c r="V20" s="7" t="str">
        <x:v>negation</x:v>
      </x:c>
    </x:row>
    <x:row r="21" ht="90" customHeight="1">
      <x:c r="A21" s="7" t="str">
        <x:v>mh4-memo-zh-23</x:v>
      </x:c>
      <x:c r="B21" s="7" t="str">
        <x:v>memo</x:v>
      </x:c>
      <x:c r="C21" s="7" t="str">
        <x:v>周四上午去补牙，这件事只放在我选择的模块。</x:v>
      </x:c>
      <x:c r="D21" s="7" t="str">
        <x:v>draft</x:v>
      </x:c>
      <x:c r="E21" s="7" t="str">
        <x:v>memo</x:v>
      </x:c>
      <x:c r="F21" s="7" t="str">
        <x:v>draft</x:v>
      </x:c>
      <x:c r="G21" s="7" t="str">
        <x:v>memo</x:v>
      </x:c>
      <x:c r="H21" s="8" t="n">
        <x:v>1</x:v>
      </x:c>
      <x:c r="I21" s="8" t="n">
        <x:v>1</x:v>
      </x:c>
      <x:c r="J21" s="8" t="n">
        <x:v>1</x:v>
      </x:c>
      <x:c r="K21" s="8" t="n">
        <x:v>0</x:v>
      </x:c>
      <x:c r="L21" s="8" t="n">
        <x:v>1</x:v>
      </x:c>
      <x:c r="M21" s="8" t="n">
        <x:v>0</x:v>
      </x:c>
      <x:c r="N21" s="7" t="str">
        <x:v>date</x:v>
      </x:c>
      <x:c r="O21" s="7" t="str">
        <x:v>{"status":"draft","module":"memo","title":{"containsAny":["补牙"]},"date":"2026-10-08","priority":null}</x:v>
      </x:c>
      <x:c r="P21" s="7" t="str">
        <x:v>{"status":"draft","reason":null,"draft":{"id":"cb451f6a-6c21-4023-8e25-0e9baba43424","title":"周四上午去补牙，这件事只放在我选择的模块","notes":"","dueDate":null,"timezone":"Asia/Shanghai","priority":null,"dateText":"周四","warnings":["date_needs_review","priority_missing"]},"module":"memo","fields":null}</x:v>
      </x:c>
      <x:c r="Q21" s="7" t="str">
        <x:v>{"intent":"single_task","module":"schedule","title":"补牙","notes":"","date_text":"周四","time_text":"上午"}</x:v>
      </x:c>
      <x:c r="R21" s="8" t="n">
        <x:v>1</x:v>
      </x:c>
      <x:c r="S21" s="8" t="n">
        <x:v>0</x:v>
      </x:c>
      <x:c r="T21" s="8" t="n">
        <x:v>1</x:v>
      </x:c>
      <x:c r="U21" s="8" t="n">
        <x:v>0</x:v>
      </x:c>
      <x:c r="V21" s="7" t="str">
        <x:v>module_override</x:v>
      </x:c>
    </x:row>
    <x:row r="22" ht="88" customHeight="1">
      <x:c r="A22" s="7" t="str">
        <x:v>mh4-health-zh-23</x:v>
      </x:c>
      <x:c r="B22" s="7" t="str">
        <x:v>health</x:v>
      </x:c>
      <x:c r="C22" s="7" t="str">
        <x:v>查询我同学今天的微信使用时长。</x:v>
      </x:c>
      <x:c r="D22" s="7" t="str">
        <x:v>clarification</x:v>
      </x:c>
      <x:c r="E22" s="7" t="str"/>
      <x:c r="F22" s="7" t="str">
        <x:v>draft</x:v>
      </x:c>
      <x:c r="G22" s="7" t="str">
        <x:v>health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7" t="str">
        <x:v>status, module</x:v>
      </x:c>
      <x:c r="O22" s="7" t="str">
        <x:v>{"status":"clarification","module":null}</x:v>
      </x:c>
      <x:c r="P22" s="7" t="str">
        <x:v>{"status":"draft","reason":null,"module":"health","draft":null,"fields":{"id":"06385e7e-6cbb-427d-bfc2-948fa475508f","title":"查看手机使用情况","notes":"","date":"2026-10-06","time":null,"amount":null,"kind":null,"category":null,"account":null,"timezone":"Asia/Shanghai"}}</x:v>
      </x:c>
      <x:c r="Q22" s="7" t="str">
        <x:v>{"intent":"single_task","module":"health","title":"查看微信使用时长","notes":""}</x:v>
      </x:c>
      <x:c r="R22" s="8" t="n">
        <x:v>1</x:v>
      </x:c>
      <x:c r="S22" s="8" t="n">
        <x:v>0</x:v>
      </x:c>
      <x:c r="T22" s="8" t="n">
        <x:v>0</x:v>
      </x:c>
      <x:c r="U22" s="8" t="n">
        <x:v>0</x:v>
      </x:c>
      <x:c r="V22" s="7" t="str">
        <x:v>other_person</x:v>
      </x:c>
    </x:row>
    <x:row r="23" ht="90" customHeight="1">
      <x:c r="A23" s="7" t="str">
        <x:v>mh4-finance-zh-13</x:v>
      </x:c>
      <x:c r="B23" s="7" t="str">
        <x:v>finance</x:v>
      </x:c>
      <x:c r="C23" s="7" t="str">
        <x:v>今天花了20元现金，买的啥记不清，分类先不选。</x:v>
      </x:c>
      <x:c r="D23" s="7" t="str">
        <x:v>draft</x:v>
      </x:c>
      <x:c r="E23" s="7" t="str">
        <x:v>finance</x:v>
      </x:c>
      <x:c r="F23" s="7" t="str">
        <x:v>draft</x:v>
      </x:c>
      <x:c r="G23" s="7" t="str">
        <x:v>finance</x:v>
      </x:c>
      <x:c r="H23" s="8" t="n">
        <x:v>1</x:v>
      </x:c>
      <x:c r="I23" s="8" t="n">
        <x:v>5</x:v>
      </x:c>
      <x:c r="J23" s="8" t="n">
        <x:v>6</x:v>
      </x:c>
      <x:c r="K23" s="8" t="n">
        <x:v>0</x:v>
      </x:c>
      <x:c r="L23" s="8" t="n">
        <x:v>1</x:v>
      </x:c>
      <x:c r="M23" s="8" t="n">
        <x:v>0</x:v>
      </x:c>
      <x:c r="N23" s="7" t="str">
        <x:v>category</x:v>
      </x:c>
      <x:c r="O23" s="7" t="str">
        <x:v>{"status":"draft","module":"finance","title":{"containsAny":["支出","消费","现金","20"]},"amount":"20","kind":"expense","category":null,"account":"Cash","date":"2026-10-06"}</x:v>
      </x:c>
      <x:c r="P23" s="7" t="str">
        <x:v>{"status":"draft","reason":null,"module":"finance","draft":null,"fields":{"id":"474efedc-b749-4975-955d-233b5eb80757","title":"今天花了20元现金，买的啥记不清，分类先不选。","notes":"","date":"2026-10-06","time":null,"amount":"20","kind":"expense","category":"Others","account":"Cash","timezone":"Asia/Shanghai"}}</x:v>
      </x:c>
      <x:c r="Q23" s="7" t="str">
        <x:v>{"intent":"single_task","module":"finance","title":"购物","notes":"","date_text":"今天","amount":"20","kind":"expense","category":"Others","account":"Cash"}</x:v>
      </x:c>
      <x:c r="R23" s="8" t="n">
        <x:v>1</x:v>
      </x:c>
      <x:c r="S23" s="8" t="n">
        <x:v>1</x:v>
      </x:c>
      <x:c r="T23" s="8" t="n">
        <x:v>1</x:v>
      </x:c>
      <x:c r="U23" s="8" t="n">
        <x:v>1</x:v>
      </x:c>
      <x:c r="V23" s="7" t="str">
        <x:v>missing_category</x:v>
      </x:c>
    </x:row>
    <x:row r="24" ht="90" customHeight="1">
      <x:c r="A24" s="7" t="str">
        <x:v>mh4-schedule-en-28</x:v>
      </x:c>
      <x:c r="B24" s="7" t="str">
        <x:v>schedule</x:v>
      </x:c>
      <x:c r="C24" s="7" t="str">
        <x:v>Add an interview tomorrow morning and then a second interview the following afternoon.</x:v>
      </x:c>
      <x:c r="D24" s="7" t="str">
        <x:v>clarification</x:v>
      </x:c>
      <x:c r="E24" s="7" t="str"/>
      <x:c r="F24" s="7" t="str">
        <x:v>draft</x:v>
      </x:c>
      <x:c r="G24" s="7" t="str">
        <x:v>schedule</x:v>
      </x:c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  <x:c r="N24" s="7" t="str">
        <x:v>status, module</x:v>
      </x:c>
      <x:c r="O24" s="7" t="str">
        <x:v>{"status":"clarification","module":null}</x:v>
      </x:c>
      <x:c r="P24" s="7" t="str">
        <x:v>{"status":"draft","reason":null,"module":"schedule","draft":null,"fields":{"id":"7326e55f-2d1b-4e61-adcc-ae902672bb7a","title":"Interviews","notes":"Add an interview tomorrow morning and then a second interview the following afternoon","date":"2026-10-07","time":null,"amount":null,"kind":null,"category":null,"account":null,"timezone":"America/Los_Angeles"}}</x:v>
      </x:c>
      <x:c r="Q24" s="7" t="str">
        <x:v>{"intent":"single_task","module":"schedule","title":"Interviews","notes":"Add an interview tomorrow morning and then a second interview the following afternoon"}</x:v>
      </x:c>
      <x:c r="R24" s="8" t="n">
        <x:v>1</x:v>
      </x:c>
      <x:c r="S24" s="8" t="n">
        <x:v>0</x:v>
      </x:c>
      <x:c r="T24" s="8" t="n">
        <x:v>0</x:v>
      </x:c>
      <x:c r="U24" s="8" t="n">
        <x:v>0</x:v>
      </x:c>
      <x:c r="V24" s="7" t="str">
        <x:v>multiple_actions</x:v>
      </x:c>
    </x:row>
    <x:row r="25" ht="90" customHeight="1">
      <x:c r="A25" s="7" t="str">
        <x:v>mh4-finance-en-21</x:v>
      </x:c>
      <x:c r="B25" s="7" t="str">
        <x:v>finance</x:v>
      </x:c>
      <x:c r="C25" s="7" t="str">
        <x:v>Already paid, not a shopping task: coffee 今天 23元 using 微信 ☕.</x:v>
      </x:c>
      <x:c r="D25" s="7" t="str">
        <x:v>draft</x:v>
      </x:c>
      <x:c r="E25" s="7" t="str">
        <x:v>finance</x:v>
      </x:c>
      <x:c r="F25" s="7" t="str">
        <x:v>draft</x:v>
      </x:c>
      <x:c r="G25" s="7" t="str">
        <x:v>memo</x:v>
      </x:c>
      <x:c r="H25" s="8" t="n">
        <x:v>0</x:v>
      </x:c>
      <x:c r="I25" s="8" t="n">
        <x:v>2</x:v>
      </x:c>
      <x:c r="J25" s="8" t="n">
        <x:v>6</x:v>
      </x:c>
      <x:c r="K25" s="8" t="n">
        <x:v>0</x:v>
      </x:c>
      <x:c r="L25" s="8" t="n">
        <x:v>1</x:v>
      </x:c>
      <x:c r="M25" s="8" t="n">
        <x:v>0</x:v>
      </x:c>
      <x:c r="N25" s="7" t="str">
        <x:v>module, amount, kind, category, account</x:v>
      </x:c>
      <x:c r="O25" s="7" t="str">
        <x:v>{"status":"draft","module":"finance","title":{"containsAny":["coffee","咖啡"]},"amount":"23","kind":"expense","category":"Food &amp; Drinks","account":"WeChat","date":"2026-10-06"}</x:v>
      </x:c>
      <x:c r="P25" s="7" t="str">
        <x:v>{"status":"draft","reason":null,"draft":{"id":"55e98e67-4be8-43d9-9d3e-350c5dee4d8c","title":"Already paid, not a shopping task: coffee 今天 23元 using 微信 ☕.","notes":"","dueDate":"2026-10-06","timezone":"America/Los_Angeles","priority":null,"dateText":"今天","warnings":["priority_missing"]},"module":"memo","fields":null}</x:v>
      </x:c>
      <x:c r="Q25" s="7" t="str">
        <x:v>{"intent":"single_task","module":"finance","title":"咖啡","notes":"","date_text":"今天","amount":"23","kind":"expense","category":"Food &amp; Drinks","account":"WeChat"}</x:v>
      </x:c>
      <x:c r="R25" s="8" t="n">
        <x:v>1</x:v>
      </x:c>
      <x:c r="S25" s="8" t="n">
        <x:v>1</x:v>
      </x:c>
      <x:c r="T25" s="8" t="n">
        <x:v>1</x:v>
      </x:c>
      <x:c r="U25" s="8" t="n">
        <x:v>1</x:v>
      </x:c>
      <x:c r="V25" s="7" t="str">
        <x:v>mixed_language</x:v>
      </x:c>
    </x:row>
    <x:row r="26" ht="88" customHeight="1">
      <x:c r="A26" s="7" t="str">
        <x:v>mh4-finance-en-26</x:v>
      </x:c>
      <x:c r="B26" s="7" t="str">
        <x:v>finance</x:v>
      </x:c>
      <x:c r="C26" s="7" t="str">
        <x:v>What is the current balance of my cash account?</x:v>
      </x:c>
      <x:c r="D26" s="7" t="str">
        <x:v>clarification</x:v>
      </x:c>
      <x:c r="E26" s="7" t="str"/>
      <x:c r="F26" s="7" t="str">
        <x:v>draft</x:v>
      </x:c>
      <x:c r="G26" s="7" t="str">
        <x:v>finance</x:v>
      </x:c>
      <x:c r="H26" s="8" t="n">
        <x:v>0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7" t="str">
        <x:v>status, module</x:v>
      </x:c>
      <x:c r="O26" s="7" t="str">
        <x:v>{"status":"clarification","module":null}</x:v>
      </x:c>
      <x:c r="P26" s="7" t="str">
        <x:v>{"status":"draft","reason":null,"module":"finance","draft":null,"fields":{"id":"a1ed22c0-c87f-49b0-bee5-904fa7b85a50","title":"Current Balance","notes":"Cash Account","date":null,"time":null,"amount":null,"kind":null,"category":null,"account":"Cash","timezone":"America/Los_Angeles"}}</x:v>
      </x:c>
      <x:c r="Q26" s="7" t="str">
        <x:v>{"intent":"single_task","module":"finance","title":"Current Balance","notes":"Cash Account","date_text":"today","account":"Cash"}</x:v>
      </x:c>
      <x:c r="R26" s="8" t="n">
        <x:v>1</x:v>
      </x:c>
      <x:c r="S26" s="8" t="n">
        <x:v>0</x:v>
      </x:c>
      <x:c r="T26" s="8" t="n">
        <x:v>0</x:v>
      </x:c>
      <x:c r="U26" s="8" t="n">
        <x:v>0</x:v>
      </x:c>
      <x:c r="V26" s="7" t="str">
        <x:v>unsupported_query</x:v>
      </x:c>
    </x:row>
    <x:row r="27" ht="88" customHeight="1">
      <x:c r="A27" s="7" t="str">
        <x:v>mh4-finance-en-19</x:v>
      </x:c>
      <x:c r="B27" s="7" t="str">
        <x:v>finance</x:v>
      </x:c>
      <x:c r="C27" s="7" t="str">
        <x:v>Lunch was 44 yuan today. Maybe Alipay, maybe WeChat; leave the account for me to check.</x:v>
      </x:c>
      <x:c r="D27" s="7" t="str">
        <x:v>draft</x:v>
      </x:c>
      <x:c r="E27" s="7" t="str">
        <x:v>finance</x:v>
      </x:c>
      <x:c r="F27" s="7" t="str">
        <x:v>draft</x:v>
      </x:c>
      <x:c r="G27" s="7" t="str">
        <x:v>finance</x:v>
      </x:c>
      <x:c r="H27" s="8" t="n">
        <x:v>1</x:v>
      </x:c>
      <x:c r="I27" s="8" t="n">
        <x:v>5</x:v>
      </x:c>
      <x:c r="J27" s="8" t="n">
        <x:v>6</x:v>
      </x:c>
      <x:c r="K27" s="8" t="n">
        <x:v>0</x:v>
      </x:c>
      <x:c r="L27" s="8" t="n">
        <x:v>1</x:v>
      </x:c>
      <x:c r="M27" s="8" t="n">
        <x:v>0</x:v>
      </x:c>
      <x:c r="N27" s="7" t="str">
        <x:v>kind</x:v>
      </x:c>
      <x:c r="O27" s="7" t="str">
        <x:v>{"status":"draft","module":"finance","title":{"containsAny":["lunch"]},"amount":"44","kind":"expense","category":"Food &amp; Drinks","account":null,"date":"2026-10-06"}</x:v>
      </x:c>
      <x:c r="P27" s="7" t="str">
        <x:v>{"status":"draft","reason":null,"module":"finance","draft":null,"fields":{"id":"7851151f-dc7a-48de-b9f8-247e71f60407","title":"Lunch","notes":"44 yuan","date":"2026-10-06","time":null,"amount":"44","kind":null,"category":"Food &amp; Drinks","account":null,"timezone":"America/Los_Angeles"}}</x:v>
      </x:c>
      <x:c r="Q27" s="7" t="str">
        <x:v>{"intent":"single_task","module":"finance","title":"Lunch","notes":"44 yuan","date_text":"today","amount":"44","kind":"expense","category":"Food &amp; Drinks","account":"Alipay"}</x:v>
      </x:c>
      <x:c r="R27" s="8" t="n">
        <x:v>1</x:v>
      </x:c>
      <x:c r="S27" s="8" t="n">
        <x:v>1</x:v>
      </x:c>
      <x:c r="T27" s="8" t="n">
        <x:v>1</x:v>
      </x:c>
      <x:c r="U27" s="8" t="n">
        <x:v>1</x:v>
      </x:c>
      <x:c r="V27" s="7" t="str">
        <x:v>uncertain_account</x:v>
      </x:c>
    </x:row>
    <x:row r="28" ht="88" customHeight="1">
      <x:c r="A28" s="7" t="str">
        <x:v>mh4-finance-en-06</x:v>
      </x:c>
      <x:c r="B28" s="7" t="str">
        <x:v>finance</x:v>
      </x:c>
      <x:c r="C28" s="7" t="str">
        <x:v>Today a scholarship payment of 950 yuan reached my bank card.</x:v>
      </x:c>
      <x:c r="D28" s="7" t="str">
        <x:v>draft</x:v>
      </x:c>
      <x:c r="E28" s="7" t="str">
        <x:v>finance</x:v>
      </x:c>
      <x:c r="F28" s="7" t="str">
        <x:v>draft</x:v>
      </x:c>
      <x:c r="G28" s="7" t="str">
        <x:v>finance</x:v>
      </x:c>
      <x:c r="H28" s="8" t="n">
        <x:v>1</x:v>
      </x:c>
      <x:c r="I28" s="8" t="n">
        <x:v>5</x:v>
      </x:c>
      <x:c r="J28" s="8" t="n">
        <x:v>6</x:v>
      </x:c>
      <x:c r="K28" s="8" t="n">
        <x:v>0</x:v>
      </x:c>
      <x:c r="L28" s="8" t="n">
        <x:v>1</x:v>
      </x:c>
      <x:c r="M28" s="8" t="n">
        <x:v>0</x:v>
      </x:c>
      <x:c r="N28" s="7" t="str">
        <x:v>kind</x:v>
      </x:c>
      <x:c r="O28" s="7" t="str">
        <x:v>{"status":"draft","module":"finance","title":{"containsAny":["scholarship"]},"amount":"950","kind":"income","category":"Scholarship","account":"Bank Card","date":"2026-10-06"}</x:v>
      </x:c>
      <x:c r="P28" s="7" t="str">
        <x:v>{"status":"draft","reason":null,"module":"finance","draft":null,"fields":{"id":"8e0c803a-ceae-4ad7-9756-562dc9744f45","title":"Scholarship Payment","notes":"","date":"2026-10-06","time":null,"amount":"950","kind":null,"category":"Scholarship","account":"Bank Card","timezone":"America/Los_Angeles"}}</x:v>
      </x:c>
      <x:c r="Q28" s="7" t="str">
        <x:v>{"intent":"single_task","module":"finance","title":"Scholarship Payment","notes":"","date_text":"today","amount":"950","kind":"income","category":"Scholarship","account":"Bank Card"}</x:v>
      </x:c>
      <x:c r="R28" s="8" t="n">
        <x:v>1</x:v>
      </x:c>
      <x:c r="S28" s="8" t="n">
        <x:v>1</x:v>
      </x:c>
      <x:c r="T28" s="8" t="n">
        <x:v>1</x:v>
      </x:c>
      <x:c r="U28" s="8" t="n">
        <x:v>1</x:v>
      </x:c>
      <x:c r="V28" s="7" t="str">
        <x:v>complete</x:v>
      </x:c>
    </x:row>
    <x:row r="29" ht="88" customHeight="1">
      <x:c r="A29" s="7" t="str">
        <x:v>mh4-memo-en-27</x:v>
      </x:c>
      <x:c r="B29" s="7" t="str">
        <x:v>memo</x:v>
      </x:c>
      <x:c r="C29" s="7" t="str">
        <x:v>Make a task to mend my backpack, then add an expense of 8 yuan for thread today.</x:v>
      </x:c>
      <x:c r="D29" s="7" t="str">
        <x:v>clarification</x:v>
      </x:c>
      <x:c r="E29" s="7" t="str"/>
      <x:c r="F29" s="7" t="str">
        <x:v>draft</x:v>
      </x:c>
      <x:c r="G29" s="7" t="str">
        <x:v>memo</x:v>
      </x:c>
      <x:c r="H29" s="8" t="n">
        <x:v>0</x:v>
      </x:c>
      <x:c r="I29" s="8" t="n">
        <x:v>0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7" t="str">
        <x:v>status, module</x:v>
      </x:c>
      <x:c r="O29" s="7" t="str">
        <x:v>{"status":"clarification","module":null}</x:v>
      </x:c>
      <x:c r="P29" s="7" t="str">
        <x:v>{"status":"draft","reason":null,"draft":{"id":"e559eeea-cb51-4d90-baa7-b7f982fd55c1","title":"Mend Backpack","notes":"","dueDate":"2026-10-06","timezone":"America/Los_Angeles","priority":null,"dateText":"today","warnings":["priority_missing"]},"module":"memo","fields":null}</x:v>
      </x:c>
      <x:c r="Q29" s="7" t="str">
        <x:v>{"intent":"single_task","module":"memo","title":"Mend Backpack","notes":"","date_text":"today","priority":"normal"}</x:v>
      </x:c>
      <x:c r="R29" s="8" t="n">
        <x:v>1</x:v>
      </x:c>
      <x:c r="S29" s="8" t="n">
        <x:v>0</x:v>
      </x:c>
      <x:c r="T29" s="8" t="n">
        <x:v>0</x:v>
      </x:c>
      <x:c r="U29" s="8" t="n">
        <x:v>0</x:v>
      </x:c>
      <x:c r="V29" s="7" t="str">
        <x:v>multiple_actions</x:v>
      </x:c>
    </x:row>
    <x:row r="30" ht="88" customHeight="1">
      <x:c r="A30" s="7" t="str">
        <x:v>mh4-schedule-zh-01</x:v>
      </x:c>
      <x:c r="B30" s="7" t="str">
        <x:v>schedule</x:v>
      </x:c>
      <x:c r="C30" s="7" t="str">
        <x:v>日历占个位置：明天下午四点，牙套复诊。</x:v>
      </x:c>
      <x:c r="D30" s="7" t="str">
        <x:v>draft</x:v>
      </x:c>
      <x:c r="E30" s="7" t="str">
        <x:v>schedule</x:v>
      </x:c>
      <x:c r="F30" s="7" t="str">
        <x:v>draft</x:v>
      </x:c>
      <x:c r="G30" s="7" t="str">
        <x:v>schedule</x:v>
      </x:c>
      <x:c r="H30" s="8" t="n">
        <x:v>1</x:v>
      </x:c>
      <x:c r="I30" s="8" t="n">
        <x:v>2</x:v>
      </x:c>
      <x:c r="J30" s="8" t="n">
        <x:v>2</x:v>
      </x:c>
      <x:c r="K30" s="8" t="n">
        <x:v>0</x:v>
      </x:c>
      <x:c r="L30" s="8" t="n">
        <x:v>1</x:v>
      </x:c>
      <x:c r="M30" s="8" t="n">
        <x:v>0</x:v>
      </x:c>
      <x:c r="N30" s="7" t="str">
        <x:v>time</x:v>
      </x:c>
      <x:c r="O30" s="7" t="str">
        <x:v>{"status":"draft","module":"schedule","title":{"containsAny":["牙套","复诊"]},"date":"2026-10-07","time":"16:00"}</x:v>
      </x:c>
      <x:c r="P30" s="7" t="str">
        <x:v>{"status":"draft","reason":null,"module":"schedule","draft":null,"fields":{"id":"b312084c-3213-4716-971a-882828fb6a7e","title":"牙套复诊","notes":"","date":"2026-10-07","time":null,"amount":null,"kind":null,"category":null,"account":null,"timezone":"Asia/Shanghai"}}</x:v>
      </x:c>
      <x:c r="Q30" s="7" t="str">
        <x:v>{"intent":"single_task","module":"schedule","title":"牙套复诊","notes":"","date_text":"明天","time_text":"下午四点"}</x:v>
      </x:c>
      <x:c r="R30" s="8" t="n">
        <x:v>1</x:v>
      </x:c>
      <x:c r="S30" s="8" t="n">
        <x:v>1</x:v>
      </x:c>
      <x:c r="T30" s="8" t="n">
        <x:v>1</x:v>
      </x:c>
      <x:c r="U30" s="8" t="n">
        <x:v>1</x:v>
      </x:c>
      <x:c r="V30" s="7" t="str">
        <x:v>colloquial</x:v>
      </x:c>
    </x:row>
    <x:row r="31" ht="88" customHeight="1">
      <x:c r="A31" s="7" t="str">
        <x:v>mh4-memo-zh-07</x:v>
      </x:c>
      <x:c r="B31" s="7" t="str">
        <x:v>memo</x:v>
      </x:c>
      <x:c r="C31" s="7" t="str">
        <x:v>不是要加日程，我只想记住烤箱预热要十分钟。</x:v>
      </x:c>
      <x:c r="D31" s="7" t="str">
        <x:v>draft</x:v>
      </x:c>
      <x:c r="E31" s="7" t="str">
        <x:v>memo</x:v>
      </x:c>
      <x:c r="F31" s="7" t="str">
        <x:v>draft</x:v>
      </x:c>
      <x:c r="G31" s="7" t="str">
        <x:v>schedule</x:v>
      </x:c>
      <x:c r="H31" s="8" t="n">
        <x:v>0</x:v>
      </x:c>
      <x:c r="I31" s="8" t="n">
        <x:v>1</x:v>
      </x:c>
      <x:c r="J31" s="8" t="n">
        <x:v>1</x:v>
      </x:c>
      <x:c r="K31" s="8" t="n">
        <x:v>0</x:v>
      </x:c>
      <x:c r="L31" s="8" t="n">
        <x:v>1</x:v>
      </x:c>
      <x:c r="M31" s="8" t="n">
        <x:v>0</x:v>
      </x:c>
      <x:c r="N31" s="7" t="str">
        <x:v>module, priority</x:v>
      </x:c>
      <x:c r="O31" s="7" t="str">
        <x:v>{"status":"draft","module":"memo","title":{"containsAny":["烤箱","预热"]},"date":null,"priority":null}</x:v>
      </x:c>
      <x:c r="P31" s="7" t="str">
        <x:v>{"status":"draft","reason":null,"module":"schedule","draft":null,"fields":{"id":"a3ab3f28-31c6-4a00-bb08-68e5951ac768","title":"烤箱预热","notes":"十分钟","date":null,"time":null,"amount":null,"kind":null,"category":null,"account":null,"timezone":"Asia/Shanghai"}}</x:v>
      </x:c>
      <x:c r="Q31" s="7" t="str">
        <x:v>{"intent":"single_task","module":"schedule","title":"烤箱预热","notes":"十分钟"}</x:v>
      </x:c>
      <x:c r="R31" s="8" t="n">
        <x:v>1</x:v>
      </x:c>
      <x:c r="S31" s="8" t="n">
        <x:v>0</x:v>
      </x:c>
      <x:c r="T31" s="8" t="n">
        <x:v>1</x:v>
      </x:c>
      <x:c r="U31" s="8" t="n">
        <x:v>1</x:v>
      </x:c>
      <x:c r="V31" s="7" t="str">
        <x:v>negation</x:v>
      </x:c>
    </x:row>
    <x:row r="32" ht="90" customHeight="1">
      <x:c r="A32" s="7" t="str">
        <x:v>mh4-schedule-en-30</x:v>
      </x:c>
      <x:c r="B32" s="7" t="str">
        <x:v>schedule</x:v>
      </x:c>
      <x:c r="C32" s="7" t="str">
        <x:v>Send a calendar invitation to everyone attending the seminar.</x:v>
      </x:c>
      <x:c r="D32" s="7" t="str">
        <x:v>clarification</x:v>
      </x:c>
      <x:c r="E32" s="7" t="str"/>
      <x:c r="F32" s="7" t="str">
        <x:v>draft</x:v>
      </x:c>
      <x:c r="G32" s="7" t="str">
        <x:v>schedule</x:v>
      </x:c>
      <x:c r="H32" s="8" t="n">
        <x:v>0</x:v>
      </x:c>
      <x:c r="I32" s="8" t="n">
        <x:v>0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7" t="str">
        <x:v>status, module</x:v>
      </x:c>
      <x:c r="O32" s="7" t="str">
        <x:v>{"status":"clarification","module":null}</x:v>
      </x:c>
      <x:c r="P32" s="7" t="str">
        <x:v>{"status":"draft","reason":null,"module":"schedule","draft":null,"fields":{"id":"92d1595c-7395-468f-b73e-20fa270f8700","title":"Calendar Invitation","notes":"Everyone attending the seminar","date":null,"time":null,"amount":null,"kind":null,"category":null,"account":null,"timezone":"America/Los_Angeles"}}</x:v>
      </x:c>
      <x:c r="Q32" s="7" t="str">
        <x:v>{"intent":"single_task","module":"schedule","title":"Calendar Invitation","notes":"Everyone attending the seminar","date_text":"Seminar Date","time_text":"Seminar Time"}</x:v>
      </x:c>
      <x:c r="R32" s="8" t="n">
        <x:v>1</x:v>
      </x:c>
      <x:c r="S32" s="8" t="n">
        <x:v>0</x:v>
      </x:c>
      <x:c r="T32" s="8" t="n">
        <x:v>0</x:v>
      </x:c>
      <x:c r="U32" s="8" t="n">
        <x:v>0</x:v>
      </x:c>
      <x:c r="V32" s="7" t="str">
        <x:v>external_action</x:v>
      </x:c>
    </x:row>
    <x:row r="33" ht="90" customHeight="1">
      <x:c r="A33" s="7" t="str">
        <x:v>mh4-finance-zh-21</x:v>
      </x:c>
      <x:c r="B33" s="7" t="str">
        <x:v>finance</x:v>
      </x:c>
      <x:c r="C33" s="7" t="str">
        <x:v>不是待办，是已经买了：今天cash付18元买coffee☕。</x:v>
      </x:c>
      <x:c r="D33" s="7" t="str">
        <x:v>draft</x:v>
      </x:c>
      <x:c r="E33" s="7" t="str">
        <x:v>finance</x:v>
      </x:c>
      <x:c r="F33" s="7" t="str">
        <x:v>draft</x:v>
      </x:c>
      <x:c r="G33" s="7" t="str">
        <x:v>memo</x:v>
      </x:c>
      <x:c r="H33" s="8" t="n">
        <x:v>0</x:v>
      </x:c>
      <x:c r="I33" s="8" t="n">
        <x:v>2</x:v>
      </x:c>
      <x:c r="J33" s="8" t="n">
        <x:v>6</x:v>
      </x:c>
      <x:c r="K33" s="8" t="n">
        <x:v>0</x:v>
      </x:c>
      <x:c r="L33" s="8" t="n">
        <x:v>1</x:v>
      </x:c>
      <x:c r="M33" s="8" t="n">
        <x:v>0</x:v>
      </x:c>
      <x:c r="N33" s="7" t="str">
        <x:v>module, amount, kind, category, account</x:v>
      </x:c>
      <x:c r="O33" s="7" t="str">
        <x:v>{"status":"draft","module":"finance","title":{"containsAny":["coffee","咖啡"]},"amount":"18","kind":"expense","category":"Food &amp; Drinks","account":"Cash","date":"2026-10-06"}</x:v>
      </x:c>
      <x:c r="P33" s="7" t="str">
        <x:v>{"status":"draft","reason":null,"draft":{"id":"2f237d45-9b81-4460-a4c9-07d0702934ce","title":"不是待办，是已经买了：今天cash付18元买coffee☕","notes":"今天cash付18元买coffee☕","dueDate":"2026-10-06","timezone":"Asia/Shanghai","priority":null,"dateText":"今天","warnings":["priority_missing"]},"module":"memo","fields":null}</x:v>
      </x:c>
      <x:c r="Q33" s="7" t="str">
        <x:v>{"intent":"single_task","module":"finance","title":"咖啡","notes":"今天cash付18元买coffee☕","date_text":"今天","amount":"18","kind":"expense","category":"Shopping","account":"Cash"}</x:v>
      </x:c>
      <x:c r="R33" s="8" t="n">
        <x:v>1</x:v>
      </x:c>
      <x:c r="S33" s="8" t="n">
        <x:v>1</x:v>
      </x:c>
      <x:c r="T33" s="8" t="n">
        <x:v>1</x:v>
      </x:c>
      <x:c r="U33" s="8" t="n">
        <x:v>1</x:v>
      </x:c>
      <x:c r="V33" s="7" t="str">
        <x:v>mixed_language</x:v>
      </x:c>
    </x:row>
    <x:row r="34" ht="88" customHeight="1">
      <x:c r="A34" s="7" t="str">
        <x:v>mh4-schedule-en-14</x:v>
      </x:c>
      <x:c r="B34" s="7" t="str">
        <x:v>schedule</x:v>
      </x:c>
      <x:c r="C34" s="7" t="str">
        <x:v>I have a Portugese, sorry Portuguese, class this Wednesday at 6pm.</x:v>
      </x:c>
      <x:c r="D34" s="7" t="str">
        <x:v>draft</x:v>
      </x:c>
      <x:c r="E34" s="7" t="str">
        <x:v>schedule</x:v>
      </x:c>
      <x:c r="F34" s="7" t="str">
        <x:v>draft</x:v>
      </x:c>
      <x:c r="G34" s="7" t="str">
        <x:v>schedule</x:v>
      </x:c>
      <x:c r="H34" s="8" t="n">
        <x:v>1</x:v>
      </x:c>
      <x:c r="I34" s="8" t="n">
        <x:v>1</x:v>
      </x:c>
      <x:c r="J34" s="8" t="n">
        <x:v>2</x:v>
      </x:c>
      <x:c r="K34" s="8" t="n">
        <x:v>0</x:v>
      </x:c>
      <x:c r="L34" s="8" t="n">
        <x:v>1</x:v>
      </x:c>
      <x:c r="M34" s="8" t="n">
        <x:v>0</x:v>
      </x:c>
      <x:c r="N34" s="7" t="str">
        <x:v>title</x:v>
      </x:c>
      <x:c r="O34" s="7" t="str">
        <x:v>{"status":"draft","module":"schedule","title":{"containsAny":["Portuguese","Portugese"]},"date":"2026-10-07","time":"18:00"}</x:v>
      </x:c>
      <x:c r="P34" s="7" t="str">
        <x:v>{"status":"draft","reason":null,"module":"schedule","draft":null,"fields":{"id":"94723475-e3df-4932-bda2-0fe2abdf1bf5","title":"Class","notes":"","date":"2026-10-07","time":"18:00","amount":null,"kind":null,"category":null,"account":null,"timezone":"America/Los_Angeles"}}</x:v>
      </x:c>
      <x:c r="Q34" s="7" t="str">
        <x:v>{"intent":"single_task","module":"schedule","title":"Class","notes":"","date_text":"this Wednesday","time_text":"6pm"}</x:v>
      </x:c>
      <x:c r="R34" s="8" t="n">
        <x:v>1</x:v>
      </x:c>
      <x:c r="S34" s="8" t="n">
        <x:v>1</x:v>
      </x:c>
      <x:c r="T34" s="8" t="n">
        <x:v>1</x:v>
      </x:c>
      <x:c r="U34" s="8" t="n">
        <x:v>1</x:v>
      </x:c>
      <x:c r="V34" s="7" t="str">
        <x:v>typo</x:v>
      </x:c>
    </x:row>
    <x:row r="35" ht="90" customHeight="1">
      <x:c r="A35" s="7" t="str">
        <x:v>mh4-finance-en-13</x:v>
      </x:c>
      <x:c r="B35" s="7" t="str">
        <x:v>finance</x:v>
      </x:c>
      <x:c r="C35" s="7" t="str">
        <x:v>Record 60 yuan spent in cash today. I do not recall what it was for, leave category empty.</x:v>
      </x:c>
      <x:c r="D35" s="7" t="str">
        <x:v>draft</x:v>
      </x:c>
      <x:c r="E35" s="7" t="str">
        <x:v>finance</x:v>
      </x:c>
      <x:c r="F35" s="7" t="str">
        <x:v>draft</x:v>
      </x:c>
      <x:c r="G35" s="7" t="str">
        <x:v>finance</x:v>
      </x:c>
      <x:c r="H35" s="8" t="n">
        <x:v>1</x:v>
      </x:c>
      <x:c r="I35" s="8" t="n">
        <x:v>4</x:v>
      </x:c>
      <x:c r="J35" s="8" t="n">
        <x:v>6</x:v>
      </x:c>
      <x:c r="K35" s="8" t="n">
        <x:v>0</x:v>
      </x:c>
      <x:c r="L35" s="8" t="n">
        <x:v>1</x:v>
      </x:c>
      <x:c r="M35" s="8" t="n">
        <x:v>0</x:v>
      </x:c>
      <x:c r="N35" s="7" t="str">
        <x:v>kind, category</x:v>
      </x:c>
      <x:c r="O35" s="7" t="str">
        <x:v>{"status":"draft","module":"finance","title":{"containsAny":["expense","spen","cash","60"]},"amount":"60","kind":"expense","category":null,"account":"Cash","date":"2026-10-06"}</x:v>
      </x:c>
      <x:c r="P35" s="7" t="str">
        <x:v>{"status":"draft","reason":null,"module":"finance","draft":null,"fields":{"id":"3cd3fd1c-55d5-4fd0-ac92-31fbae453a75","title":"60 yuan spent in cash today. I do not recall what it was for, leave category empty.","notes":"","date":"2026-10-06","time":null,"amount":"60","kind":null,"category":"Others","account":"Cash","timezone":"America/Los_Angeles"}}</x:v>
      </x:c>
      <x:c r="Q35" s="7" t="str">
        <x:v>{"intent":"single_task","module":"finance","title":"Expense","notes":"","date_text":"today","amount":"60","kind":"expense","category":"Others","account":"Cash"}</x:v>
      </x:c>
      <x:c r="R35" s="8" t="n">
        <x:v>1</x:v>
      </x:c>
      <x:c r="S35" s="8" t="n">
        <x:v>1</x:v>
      </x:c>
      <x:c r="T35" s="8" t="n">
        <x:v>1</x:v>
      </x:c>
      <x:c r="U35" s="8" t="n">
        <x:v>1</x:v>
      </x:c>
      <x:c r="V35" s="7" t="str">
        <x:v>missing_category</x:v>
      </x:c>
    </x:row>
    <x:row r="36" ht="90" customHeight="1">
      <x:c r="A36" s="7" t="str">
        <x:v>mh4-memo-en-23</x:v>
      </x:c>
      <x:c r="B36" s="7" t="str">
        <x:v>memo</x:v>
      </x:c>
      <x:c r="C36" s="7" t="str">
        <x:v>Thursday at 11am: violin lesson. Keep this as a memo in my chosen module.</x:v>
      </x:c>
      <x:c r="D36" s="7" t="str">
        <x:v>draft</x:v>
      </x:c>
      <x:c r="E36" s="7" t="str">
        <x:v>memo</x:v>
      </x:c>
      <x:c r="F36" s="7" t="str">
        <x:v>draft</x:v>
      </x:c>
      <x:c r="G36" s="7" t="str">
        <x:v>memo</x:v>
      </x:c>
      <x:c r="H36" s="8" t="n">
        <x:v>1</x:v>
      </x:c>
      <x:c r="I36" s="8" t="n">
        <x:v>1</x:v>
      </x:c>
      <x:c r="J36" s="8" t="n">
        <x:v>1</x:v>
      </x:c>
      <x:c r="K36" s="8" t="n">
        <x:v>0</x:v>
      </x:c>
      <x:c r="L36" s="8" t="n">
        <x:v>1</x:v>
      </x:c>
      <x:c r="M36" s="8" t="n">
        <x:v>0</x:v>
      </x:c>
      <x:c r="N36" s="7" t="str">
        <x:v>date</x:v>
      </x:c>
      <x:c r="O36" s="7" t="str">
        <x:v>{"status":"draft","module":"memo","title":{"containsAny":["violin"]},"date":"2026-10-08","priority":null}</x:v>
      </x:c>
      <x:c r="P36" s="7" t="str">
        <x:v>{"status":"draft","reason":null,"draft":{"id":"451e6e69-7eb5-4aba-a5b8-5602d6c709a5","title":"Violin Lesson","notes":"Thursday at 11am","dueDate":null,"timezone":"America/Los_Angeles","priority":null,"dateText":"Thursday","warnings":["date_needs_review","priority_missing"]},"module":"memo","fields":null}</x:v>
      </x:c>
      <x:c r="Q36" s="7" t="str">
        <x:v>{"intent":"single_task","module":"memo","title":"Violin Lesson","notes":"Thursday at 11am","date_text":"Thursday","time_text":"11am"}</x:v>
      </x:c>
      <x:c r="R36" s="8" t="n">
        <x:v>1</x:v>
      </x:c>
      <x:c r="S36" s="8" t="n">
        <x:v>1</x:v>
      </x:c>
      <x:c r="T36" s="8" t="n">
        <x:v>1</x:v>
      </x:c>
      <x:c r="U36" s="8" t="n">
        <x:v>0</x:v>
      </x:c>
      <x:c r="V36" s="7" t="str">
        <x:v>module_override</x:v>
      </x:c>
    </x:row>
    <x:row r="37" ht="88" customHeight="1">
      <x:c r="A37" s="7" t="str">
        <x:v>mh4-health-zh-26</x:v>
      </x:c>
      <x:c r="B37" s="7" t="str">
        <x:v>health</x:v>
      </x:c>
      <x:c r="C37" s="7" t="str">
        <x:v>显示今天手机用时，再建一个今晚10点放下手机的待办。</x:v>
      </x:c>
      <x:c r="D37" s="7" t="str">
        <x:v>clarification</x:v>
      </x:c>
      <x:c r="E37" s="7" t="str"/>
      <x:c r="F37" s="7" t="str"/>
      <x:c r="G37" s="7" t="str"/>
      <x:c r="H37" s="8" t="n">
        <x:v>0</x:v>
      </x:c>
      <x:c r="I37" s="8" t="n">
        <x:v>0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7" t="str">
        <x:v>ValueError</x:v>
      </x:c>
      <x:c r="O37" s="7" t="str">
        <x:v>{"status":"clarification","module":null}</x:v>
      </x:c>
      <x:c r="P37" s="7" t="str">
        <x:v>{}</x:v>
      </x:c>
      <x:c r="Q37" s="7" t="str">
        <x:v>{"intent":"single_task","module":"health","title":"查看手机使用时长","notes":""} {"intent":"single_task","module":"schedule","title":"放下手机","notes":"今晚10点"}</x:v>
      </x:c>
      <x:c r="R37" s="8" t="n">
        <x:v>1</x:v>
      </x:c>
      <x:c r="S37" s="8" t="n">
        <x:v>0</x:v>
      </x:c>
      <x:c r="T37" s="8" t="n">
        <x:v>0</x:v>
      </x:c>
      <x:c r="U37" s="8" t="n">
        <x:v>0</x:v>
      </x:c>
      <x:c r="V37" s="7" t="str">
        <x:v>multiple_actions</x:v>
      </x:c>
    </x:row>
    <x:row r="38" ht="88" customHeight="1">
      <x:c r="A38" s="7" t="str">
        <x:v>mh4-health-zh-27</x:v>
      </x:c>
      <x:c r="B38" s="7" t="str">
        <x:v>health</x:v>
      </x:c>
      <x:c r="C38" s="7" t="str">
        <x:v>先打开健康使用统计，然后记我今天的早餐支出12元。</x:v>
      </x:c>
      <x:c r="D38" s="7" t="str">
        <x:v>clarification</x:v>
      </x:c>
      <x:c r="E38" s="7" t="str"/>
      <x:c r="F38" s="7" t="str">
        <x:v>draft</x:v>
      </x:c>
      <x:c r="G38" s="7" t="str">
        <x:v>health</x:v>
      </x:c>
      <x:c r="H38" s="8" t="n">
        <x:v>0</x:v>
      </x:c>
      <x:c r="I38" s="8" t="n">
        <x:v>0</x:v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  <x:c r="N38" s="7" t="str">
        <x:v>status, module</x:v>
      </x:c>
      <x:c r="O38" s="7" t="str">
        <x:v>{"status":"clarification","module":null}</x:v>
      </x:c>
      <x:c r="P38" s="7" t="str">
        <x:v>{"status":"draft","reason":null,"module":"health","draft":null,"fields":{"id":"cca95ff8-4d52-42f3-a476-70f4f37ad81f","title":"查看手机使用情况","notes":"12元","date":"2026-10-06","time":null,"amount":null,"kind":null,"category":null,"account":null,"timezone":"Asia/Shanghai"}}</x:v>
      </x:c>
      <x:c r="Q38" s="7" t="str">
        <x:v>{"intent":"single_task","module":"finance","title":"早餐支出","notes":"12元","date_text":"今天","amount":"12","kind":"expense","category":"Food &amp; Drinks","account":"Cash"}</x:v>
      </x:c>
      <x:c r="R38" s="8" t="n">
        <x:v>1</x:v>
      </x:c>
      <x:c r="S38" s="8" t="n">
        <x:v>0</x:v>
      </x:c>
      <x:c r="T38" s="8" t="n">
        <x:v>0</x:v>
      </x:c>
      <x:c r="U38" s="8" t="n">
        <x:v>0</x:v>
      </x:c>
      <x:c r="V38" s="7" t="str">
        <x:v>multiple_actions</x:v>
      </x:c>
    </x:row>
    <x:row r="39" ht="90" customHeight="1">
      <x:c r="A39" s="7" t="str">
        <x:v>mh4-finance-zh-29</x:v>
      </x:c>
      <x:c r="B39" s="7" t="str">
        <x:v>finance</x:v>
      </x:c>
      <x:c r="C39" s="7" t="str">
        <x:v>今天公交花4元，再帮我创建一个周日查路线的待办。</x:v>
      </x:c>
      <x:c r="D39" s="7" t="str">
        <x:v>clarification</x:v>
      </x:c>
      <x:c r="E39" s="7" t="str"/>
      <x:c r="F39" s="7" t="str">
        <x:v>draft</x:v>
      </x:c>
      <x:c r="G39" s="7" t="str">
        <x:v>memo</x:v>
      </x:c>
      <x:c r="H39" s="8" t="n">
        <x:v>0</x:v>
      </x:c>
      <x:c r="I39" s="8" t="n">
        <x:v>0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7" t="str">
        <x:v>status, module</x:v>
      </x:c>
      <x:c r="O39" s="7" t="str">
        <x:v>{"status":"clarification","module":null}</x:v>
      </x:c>
      <x:c r="P39" s="7" t="str">
        <x:v>{"status":"draft","reason":null,"draft":{"id":"81692ba5-ac6a-4045-85ec-15f6a84c5965","title":"再帮我创建一个周日查路线的待办","notes":"再帮我创建一个周日查路线的待办","dueDate":"2026-10-06","timezone":"Asia/Shanghai","priority":null,"dateText":"今天","warnings":["priority_missing"]},"module":"memo","fields":null}</x:v>
      </x:c>
      <x:c r="Q39" s="7" t="str">
        <x:v>{"intent":"single_task","module":"schedule","title":"查路线","notes":"再帮我创建一个周日查路线的待办"}</x:v>
      </x:c>
      <x:c r="R39" s="8" t="n">
        <x:v>1</x:v>
      </x:c>
      <x:c r="S39" s="8" t="n">
        <x:v>0</x:v>
      </x:c>
      <x:c r="T39" s="8" t="n">
        <x:v>0</x:v>
      </x:c>
      <x:c r="U39" s="8" t="n">
        <x:v>0</x:v>
      </x:c>
      <x:c r="V39" s="7" t="str">
        <x:v>multiple_actions</x:v>
      </x:c>
    </x:row>
    <x:row r="40" ht="88" customHeight="1">
      <x:c r="A40" s="7" t="str">
        <x:v>mh4-schedule-zh-30</x:v>
      </x:c>
      <x:c r="B40" s="7" t="str">
        <x:v>schedule</x:v>
      </x:c>
      <x:c r="C40" s="7" t="str">
        <x:v>直接给所有会议参与者发送日历邀请。</x:v>
      </x:c>
      <x:c r="D40" s="7" t="str">
        <x:v>clarification</x:v>
      </x:c>
      <x:c r="E40" s="7" t="str"/>
      <x:c r="F40" s="7" t="str">
        <x:v>draft</x:v>
      </x:c>
      <x:c r="G40" s="7" t="str">
        <x:v>schedule</x:v>
      </x:c>
      <x:c r="H40" s="8" t="n">
        <x:v>0</x:v>
      </x:c>
      <x:c r="I40" s="8" t="n">
        <x:v>0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7" t="str">
        <x:v>status, module</x:v>
      </x:c>
      <x:c r="O40" s="7" t="str">
        <x:v>{"status":"clarification","module":null}</x:v>
      </x:c>
      <x:c r="P40" s="7" t="str">
        <x:v>{"status":"draft","reason":null,"module":"schedule","draft":null,"fields":{"id":"b22f725c-57ab-477a-bc0a-4365ba77615c","title":"发送日历邀请","notes":"所有会议参与者","date":null,"time":null,"amount":null,"kind":null,"category":null,"account":null,"timezone":"Asia/Shanghai"}}</x:v>
      </x:c>
      <x:c r="Q40" s="7" t="str">
        <x:v>{"intent":"single_task","module":"schedule","title":"发送日历邀请","notes":"所有会议参与者","date_text":"所有会议日期","time_text":"所有会议时间"}</x:v>
      </x:c>
      <x:c r="R40" s="8" t="n">
        <x:v>1</x:v>
      </x:c>
      <x:c r="S40" s="8" t="n">
        <x:v>0</x:v>
      </x:c>
      <x:c r="T40" s="8" t="n">
        <x:v>0</x:v>
      </x:c>
      <x:c r="U40" s="8" t="n">
        <x:v>0</x:v>
      </x:c>
      <x:c r="V40" s="7" t="str">
        <x:v>external_action</x:v>
      </x:c>
    </x:row>
    <x:row r="41" ht="88" customHeight="1">
      <x:c r="A41" s="7" t="str">
        <x:v>mh4-memo-zh-15</x:v>
      </x:c>
      <x:c r="B41" s="7" t="str">
        <x:v>memo</x:v>
      </x:c>
      <x:c r="C41" s="7" t="str">
        <x:v>记住除霜冰箱这件事，紧急程度还没定。</x:v>
      </x:c>
      <x:c r="D41" s="7" t="str">
        <x:v>draft</x:v>
      </x:c>
      <x:c r="E41" s="7" t="str">
        <x:v>memo</x:v>
      </x:c>
      <x:c r="F41" s="7" t="str">
        <x:v>draft</x:v>
      </x:c>
      <x:c r="G41" s="7" t="str">
        <x:v>memo</x:v>
      </x:c>
      <x:c r="H41" s="8" t="n">
        <x:v>1</x:v>
      </x:c>
      <x:c r="I41" s="8" t="n">
        <x:v>1</x:v>
      </x:c>
      <x:c r="J41" s="8" t="n">
        <x:v>1</x:v>
      </x:c>
      <x:c r="K41" s="8" t="n">
        <x:v>0</x:v>
      </x:c>
      <x:c r="L41" s="8" t="n">
        <x:v>1</x:v>
      </x:c>
      <x:c r="M41" s="8" t="n">
        <x:v>0</x:v>
      </x:c>
      <x:c r="N41" s="7" t="str">
        <x:v>priority</x:v>
      </x:c>
      <x:c r="O41" s="7" t="str">
        <x:v>{"status":"draft","module":"memo","title":{"containsAny":["冰箱","除霜"]},"date":null,"priority":null}</x:v>
      </x:c>
      <x:c r="P41" s="7" t="str">
        <x:v>{"status":"draft","reason":null,"draft":{"id":"a1b98f8b-5daa-4ca7-8118-5d30df9bbd07","title":"除霜冰箱","notes":"紧急程度还没定","dueDate":null,"timezone":"Asia/Shanghai","priority":"urgent","dateText":null,"warnings":["date_missing"]},"module":"memo","fields":null}</x:v>
      </x:c>
      <x:c r="Q41" s="7" t="str">
        <x:v>{"intent":"single_task","module":"memo","title":"除霜冰箱","notes":"紧急程度还没定"}</x:v>
      </x:c>
      <x:c r="R41" s="8" t="n">
        <x:v>1</x:v>
      </x:c>
      <x:c r="S41" s="8" t="n">
        <x:v>1</x:v>
      </x:c>
      <x:c r="T41" s="8" t="n">
        <x:v>1</x:v>
      </x:c>
      <x:c r="U41" s="8" t="n">
        <x:v>1</x:v>
      </x:c>
      <x:c r="V41" s="7" t="str">
        <x:v>missing_priority</x:v>
      </x:c>
    </x:row>
    <x:row r="42" ht="88" customHeight="1">
      <x:c r="A42" s="7" t="str">
        <x:v>mh4-schedule-en-04</x:v>
      </x:c>
      <x:c r="B42" s="7" t="str">
        <x:v>schedule</x:v>
      </x:c>
      <x:c r="C42" s="7" t="str">
        <x:v>Make an event for the house inspection today at noon.</x:v>
      </x:c>
      <x:c r="D42" s="7" t="str">
        <x:v>draft</x:v>
      </x:c>
      <x:c r="E42" s="7" t="str">
        <x:v>schedule</x:v>
      </x:c>
      <x:c r="F42" s="7" t="str">
        <x:v>draft</x:v>
      </x:c>
      <x:c r="G42" s="7" t="str">
        <x:v>schedule</x:v>
      </x:c>
      <x:c r="H42" s="8" t="n">
        <x:v>1</x:v>
      </x:c>
      <x:c r="I42" s="8" t="n">
        <x:v>2</x:v>
      </x:c>
      <x:c r="J42" s="8" t="n">
        <x:v>2</x:v>
      </x:c>
      <x:c r="K42" s="8" t="n">
        <x:v>0</x:v>
      </x:c>
      <x:c r="L42" s="8" t="n">
        <x:v>1</x:v>
      </x:c>
      <x:c r="M42" s="8" t="n">
        <x:v>0</x:v>
      </x:c>
      <x:c r="N42" s="7" t="str">
        <x:v>time</x:v>
      </x:c>
      <x:c r="O42" s="7" t="str">
        <x:v>{"status":"draft","module":"schedule","title":{"containsAny":["inspection"]},"date":"2026-10-06","time":"12:00"}</x:v>
      </x:c>
      <x:c r="P42" s="7" t="str">
        <x:v>{"status":"draft","reason":null,"module":"schedule","draft":null,"fields":{"id":"f8369b2c-094c-4b10-a138-3f3480c28218","title":"House Inspection","notes":"","date":"2026-10-06","time":null,"amount":null,"kind":null,"category":null,"account":null,"timezone":"America/Los_Angeles"}}</x:v>
      </x:c>
      <x:c r="Q42" s="7" t="str">
        <x:v>{"intent":"single_task","module":"schedule","title":"House Inspection","notes":"","date_text":"today","time_text":"12:00"}</x:v>
      </x:c>
      <x:c r="R42" s="8" t="n">
        <x:v>1</x:v>
      </x:c>
      <x:c r="S42" s="8" t="n">
        <x:v>1</x:v>
      </x:c>
      <x:c r="T42" s="8" t="n">
        <x:v>1</x:v>
      </x:c>
      <x:c r="U42" s="8" t="n">
        <x:v>1</x:v>
      </x:c>
      <x:c r="V42" s="7" t="str">
        <x:v>complete</x:v>
      </x:c>
    </x:row>
    <x:row r="43" ht="88" customHeight="1">
      <x:c r="A43" s="7" t="str">
        <x:v>mh4-schedule-zh-21</x:v>
      </x:c>
      <x:c r="B43" s="7" t="str">
        <x:v>schedule</x:v>
      </x:c>
      <x:c r="C43" s="7" t="str">
        <x:v>今天晚上九点远程答辩，添加到日程。</x:v>
      </x:c>
      <x:c r="D43" s="7" t="str">
        <x:v>draft</x:v>
      </x:c>
      <x:c r="E43" s="7" t="str">
        <x:v>schedule</x:v>
      </x:c>
      <x:c r="F43" s="7" t="str">
        <x:v>draft</x:v>
      </x:c>
      <x:c r="G43" s="7" t="str">
        <x:v>schedule</x:v>
      </x:c>
      <x:c r="H43" s="8" t="n">
        <x:v>1</x:v>
      </x:c>
      <x:c r="I43" s="8" t="n">
        <x:v>2</x:v>
      </x:c>
      <x:c r="J43" s="8" t="n">
        <x:v>2</x:v>
      </x:c>
      <x:c r="K43" s="8" t="n">
        <x:v>0</x:v>
      </x:c>
      <x:c r="L43" s="8" t="n">
        <x:v>1</x:v>
      </x:c>
      <x:c r="M43" s="8" t="n">
        <x:v>0</x:v>
      </x:c>
      <x:c r="N43" s="7" t="str">
        <x:v>time</x:v>
      </x:c>
      <x:c r="O43" s="7" t="str">
        <x:v>{"status":"draft","module":"schedule","title":{"containsAny":["答辩"]},"date":"2026-10-07","time":"21:00"}</x:v>
      </x:c>
      <x:c r="P43" s="7" t="str">
        <x:v>{"status":"draft","reason":null,"module":"schedule","draft":null,"fields":{"id":"4ae4c4f5-2012-415b-9587-b1caef17cee2","title":"答辩","notes":"","date":"2026-10-07","time":null,"amount":null,"kind":null,"category":null,"account":null,"timezone":"Asia/Shanghai"}}</x:v>
      </x:c>
      <x:c r="Q43" s="7" t="str">
        <x:v>{"intent":"single_task","module":"schedule","title":"答辩","notes":"","date_text":"今天晚上","time_text":"九点"}</x:v>
      </x:c>
      <x:c r="R43" s="8" t="n">
        <x:v>1</x:v>
      </x:c>
      <x:c r="S43" s="8" t="n">
        <x:v>1</x:v>
      </x:c>
      <x:c r="T43" s="8" t="n">
        <x:v>1</x:v>
      </x:c>
      <x:c r="U43" s="8" t="n">
        <x:v>1</x:v>
      </x:c>
      <x:c r="V43" s="7" t="str">
        <x:v>timezone_boundary</x:v>
      </x:c>
    </x:row>
    <x:row r="44" ht="88" customHeight="1">
      <x:c r="A44" s="7" t="str">
        <x:v>mh4-memo-en-22</x:v>
      </x:c>
      <x:c r="B44" s="7" t="str">
        <x:v>memo</x:v>
      </x:c>
      <x:c r="C44" s="7" t="str">
        <x:v>Add oiling the squeaky hinge to the list. It is not urgent at all.</x:v>
      </x:c>
      <x:c r="D44" s="7" t="str">
        <x:v>draft</x:v>
      </x:c>
      <x:c r="E44" s="7" t="str">
        <x:v>memo</x:v>
      </x:c>
      <x:c r="F44" s="7" t="str">
        <x:v>draft</x:v>
      </x:c>
      <x:c r="G44" s="7" t="str">
        <x:v>schedule</x:v>
      </x:c>
      <x:c r="H44" s="8" t="n">
        <x:v>0</x:v>
      </x:c>
      <x:c r="I44" s="8" t="n">
        <x:v>1</x:v>
      </x:c>
      <x:c r="J44" s="8" t="n">
        <x:v>1</x:v>
      </x:c>
      <x:c r="K44" s="8" t="n">
        <x:v>0</x:v>
      </x:c>
      <x:c r="L44" s="8" t="n">
        <x:v>1</x:v>
      </x:c>
      <x:c r="M44" s="8" t="n">
        <x:v>0</x:v>
      </x:c>
      <x:c r="N44" s="7" t="str">
        <x:v>module, priority</x:v>
      </x:c>
      <x:c r="O44" s="7" t="str">
        <x:v>{"status":"draft","module":"memo","title":{"containsAny":["hinge"]},"date":null,"priority":"normal"}</x:v>
      </x:c>
      <x:c r="P44" s="7" t="str">
        <x:v>{"status":"draft","reason":null,"module":"schedule","draft":null,"fields":{"id":"b9c812c8-a1f3-427b-b667-53d4c5280592","title":"Oiling the squeaky hinge","notes":"not urgent","date":null,"time":null,"amount":null,"kind":null,"category":null,"account":null,"timezone":"America/Los_Angeles"}}</x:v>
      </x:c>
      <x:c r="Q44" s="7" t="str">
        <x:v>{"intent":"single_task","module":"schedule","title":"Oiling the squeaky hinge","notes":"not urgent","date_text":"null","time_text":"null"}</x:v>
      </x:c>
      <x:c r="R44" s="8" t="n">
        <x:v>1</x:v>
      </x:c>
      <x:c r="S44" s="8" t="n">
        <x:v>0</x:v>
      </x:c>
      <x:c r="T44" s="8" t="n">
        <x:v>1</x:v>
      </x:c>
      <x:c r="U44" s="8" t="n">
        <x:v>1</x:v>
      </x:c>
      <x:c r="V44" s="7" t="str">
        <x:v>negated_urgency</x:v>
      </x:c>
    </x:row>
    <x:row r="45" ht="88" customHeight="1">
      <x:c r="A45" s="7" t="str">
        <x:v>mh4-finance-zh-20</x:v>
      </x:c>
      <x:c r="B45" s="7" t="str">
        <x:v>finance</x:v>
      </x:c>
      <x:c r="C45" s="7" t="str">
        <x:v>昨天还是前天吃面付了19元现金，日期记混了。</x:v>
      </x:c>
      <x:c r="D45" s="7" t="str">
        <x:v>draft</x:v>
      </x:c>
      <x:c r="E45" s="7" t="str">
        <x:v>finance</x:v>
      </x:c>
      <x:c r="F45" s="7" t="str">
        <x:v>draft</x:v>
      </x:c>
      <x:c r="G45" s="7" t="str">
        <x:v>finance</x:v>
      </x:c>
      <x:c r="H45" s="8" t="n">
        <x:v>1</x:v>
      </x:c>
      <x:c r="I45" s="8" t="n">
        <x:v>5</x:v>
      </x:c>
      <x:c r="J45" s="8" t="n">
        <x:v>6</x:v>
      </x:c>
      <x:c r="K45" s="8" t="n">
        <x:v>0</x:v>
      </x:c>
      <x:c r="L45" s="8" t="n">
        <x:v>1</x:v>
      </x:c>
      <x:c r="M45" s="8" t="n">
        <x:v>0</x:v>
      </x:c>
      <x:c r="N45" s="7" t="str">
        <x:v>date</x:v>
      </x:c>
      <x:c r="O45" s="7" t="str">
        <x:v>{"status":"draft","module":"finance","title":{"containsAny":["面"]},"amount":"19","kind":"expense","category":"Food &amp; Drinks","account":"Cash","date":null}</x:v>
      </x:c>
      <x:c r="P45" s="7" t="str">
        <x:v>{"status":"draft","reason":null,"module":"finance","draft":null,"fields":{"id":"22d39a31-e166-4ecf-9fc3-001278b3b1b9","title":"面","notes":"19元","date":"2026-10-05","time":null,"amount":"19","kind":"expense","category":"Food &amp; Drinks","account":"Cash","timezone":"Asia/Shanghai"}}</x:v>
      </x:c>
      <x:c r="Q45" s="7" t="str">
        <x:v>{"intent":"single_task","module":"finance","title":"面","notes":"19元","date_text":"前天","amount":"19","kind":"expense","category":"Food &amp; Drinks","account":"Cash"}</x:v>
      </x:c>
      <x:c r="R45" s="8" t="n">
        <x:v>1</x:v>
      </x:c>
      <x:c r="S45" s="8" t="n">
        <x:v>1</x:v>
      </x:c>
      <x:c r="T45" s="8" t="n">
        <x:v>1</x:v>
      </x:c>
      <x:c r="U45" s="8" t="n">
        <x:v>0</x:v>
      </x:c>
      <x:c r="V45" s="7" t="str">
        <x:v>uncertain_date</x:v>
      </x:c>
    </x:row>
    <x:row r="46" ht="88" customHeight="1">
      <x:c r="A46" s="7" t="str">
        <x:v>mh4-memo-zh-27</x:v>
      </x:c>
      <x:c r="B46" s="7" t="str">
        <x:v>memo</x:v>
      </x:c>
      <x:c r="C46" s="7" t="str">
        <x:v>帮我加一个整理书架的待办，然后再记今天购买书架花了90元。</x:v>
      </x:c>
      <x:c r="D46" s="7" t="str">
        <x:v>clarification</x:v>
      </x:c>
      <x:c r="E46" s="7" t="str"/>
      <x:c r="F46" s="7" t="str"/>
      <x:c r="G46" s="7" t="str"/>
      <x:c r="H46" s="8" t="n">
        <x:v>0</x:v>
      </x:c>
      <x:c r="I46" s="8" t="n">
        <x:v>0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7" t="str">
        <x:v>ValueError</x:v>
      </x:c>
      <x:c r="O46" s="7" t="str">
        <x:v>{"status":"clarification","module":null}</x:v>
      </x:c>
      <x:c r="P46" s="7" t="str">
        <x:v>{}</x:v>
      </x:c>
      <x:c r="Q46" s="7" t="str">
        <x:v>{"intent":"single_task","module":"memo","title":"整理书架","notes":"整理书架","date_text":"today","priority":"normal"} {"intent":"single_task","module":"finance","title":"购买书架","notes":"购买书架","date_text":"today","amount":"90","kind":"expense","category":"Shopping","account":"Cash"}</x:v>
      </x:c>
      <x:c r="R46" s="8" t="n">
        <x:v>1</x:v>
      </x:c>
      <x:c r="S46" s="8" t="n">
        <x:v>0</x:v>
      </x:c>
      <x:c r="T46" s="8" t="n">
        <x:v>0</x:v>
      </x:c>
      <x:c r="U46" s="8" t="n">
        <x:v>0</x:v>
      </x:c>
      <x:c r="V46" s="7" t="str">
        <x:v>multiple_actions</x:v>
      </x:c>
    </x:row>
    <x:row r="47" ht="90" customHeight="1">
      <x:c r="A47" s="7" t="str">
        <x:v>mh4-health-en-04</x:v>
      </x:c>
      <x:c r="B47" s="7" t="str">
        <x:v>health</x:v>
      </x:c>
      <x:c r="C47" s="7" t="str">
        <x:v>No reminder to use my phone less, just show today's usage statistics.</x:v>
      </x:c>
      <x:c r="D47" s="7" t="str">
        <x:v>draft</x:v>
      </x:c>
      <x:c r="E47" s="7" t="str">
        <x:v>health</x:v>
      </x:c>
      <x:c r="F47" s="7" t="str">
        <x:v>draft</x:v>
      </x:c>
      <x:c r="G47" s="7" t="str">
        <x:v>memo</x:v>
      </x:c>
      <x:c r="H47" s="8" t="n">
        <x:v>0</x:v>
      </x:c>
      <x:c r="I47" s="8" t="n">
        <x:v>0</x:v>
      </x:c>
      <x:c r="J47" s="8" t="n">
        <x:v>0</x:v>
      </x:c>
      <x:c r="K47" s="8" t="n">
        <x:v>0</x:v>
      </x:c>
      <x:c r="L47" s="8" t="n">
        <x:v>1</x:v>
      </x:c>
      <x:c r="M47" s="8" t="n">
        <x:v>0</x:v>
      </x:c>
      <x:c r="N47" s="7" t="str">
        <x:v>module</x:v>
      </x:c>
      <x:c r="O47" s="7" t="str">
        <x:v>{"status":"draft","module":"health"}</x:v>
      </x:c>
      <x:c r="P47" s="7" t="str">
        <x:v>{"status":"draft","reason":null,"draft":{"id":"18385d38-d45c-406a-aac1-6cb48800a104","title":"No reminder to use my phone less, just show today's usage statistics.","notes":"","dueDate":"2026-10-06","timezone":"America/Los_Angeles","priority":null,"dateText":"today","warnings":["priority_missing"]},"module":"memo","fields":null}</x:v>
      </x:c>
      <x:c r="Q47" s="7" t="str">
        <x:v>{"intent":"single_task","module":"health","title":"查看手机使用时长","notes":""}</x:v>
      </x:c>
      <x:c r="R47" s="8" t="n">
        <x:v>1</x:v>
      </x:c>
      <x:c r="S47" s="8" t="n">
        <x:v>1</x:v>
      </x:c>
      <x:c r="T47" s="8" t="n">
        <x:v>0</x:v>
      </x:c>
      <x:c r="U47" s="8" t="n">
        <x:v>0</x:v>
      </x:c>
      <x:c r="V47" s="7" t="str">
        <x:v>negation</x:v>
      </x:c>
    </x:row>
    <x:row r="48" ht="88" customHeight="1">
      <x:c r="A48" s="7" t="str">
        <x:v>mh4-finance-en-30</x:v>
      </x:c>
      <x:c r="B48" s="7" t="str">
        <x:v>finance</x:v>
      </x:c>
      <x:c r="C48" s="7" t="str">
        <x:v>Pay the landlord 2500 yuan from my bank card right now.</x:v>
      </x:c>
      <x:c r="D48" s="7" t="str">
        <x:v>clarification</x:v>
      </x:c>
      <x:c r="E48" s="7" t="str"/>
      <x:c r="F48" s="7" t="str">
        <x:v>draft</x:v>
      </x:c>
      <x:c r="G48" s="7" t="str">
        <x:v>finance</x:v>
      </x:c>
      <x:c r="H48" s="8" t="n">
        <x:v>0</x:v>
      </x:c>
      <x:c r="I48" s="8" t="n">
        <x:v>0</x:v>
      </x:c>
      <x:c r="J48" s="8" t="n">
        <x:v>0</x:v>
      </x:c>
      <x:c r="K48" s="8" t="n">
        <x:v>0</x:v>
      </x:c>
      <x:c r="L48" s="8" t="n">
        <x:v>0</x:v>
      </x:c>
      <x:c r="M48" s="8" t="n">
        <x:v>0</x:v>
      </x:c>
      <x:c r="N48" s="7" t="str">
        <x:v>status, module</x:v>
      </x:c>
      <x:c r="O48" s="7" t="str">
        <x:v>{"status":"clarification","module":null}</x:v>
      </x:c>
      <x:c r="P48" s="7" t="str">
        <x:v>{"status":"draft","reason":null,"module":"finance","draft":null,"fields":{"id":"6b000891-bc5f-4d49-a3a7-e4a229f87fc2","title":"Pay rent","notes":"","date":null,"time":null,"amount":"2500","kind":null,"category":"Bills","account":"Bank Card","timezone":"America/Los_Angeles"}}</x:v>
      </x:c>
      <x:c r="Q48" s="7" t="str">
        <x:v>{"intent":"single_task","module":"finance","title":"Pay rent","notes":"","date_text":"now","amount":"2500","kind":"expense","category":"Bills","account":"Bank Card"}</x:v>
      </x:c>
      <x:c r="R48" s="8" t="n">
        <x:v>1</x:v>
      </x:c>
      <x:c r="S48" s="8" t="n">
        <x:v>0</x:v>
      </x:c>
      <x:c r="T48" s="8" t="n">
        <x:v>0</x:v>
      </x:c>
      <x:c r="U48" s="8" t="n">
        <x:v>0</x:v>
      </x:c>
      <x:c r="V48" s="7" t="str">
        <x:v>external_action</x:v>
      </x:c>
    </x:row>
    <x:row r="49" ht="88" customHeight="1">
      <x:c r="A49" s="7" t="str">
        <x:v>mh4-schedule-en-27</x:v>
      </x:c>
      <x:c r="B49" s="7" t="str">
        <x:v>schedule</x:v>
      </x:c>
      <x:c r="C49" s="7" t="str">
        <x:v>List all the appointments currently on my calendar for tomorrow.</x:v>
      </x:c>
      <x:c r="D49" s="7" t="str">
        <x:v>clarification</x:v>
      </x:c>
      <x:c r="E49" s="7" t="str"/>
      <x:c r="F49" s="7" t="str">
        <x:v>draft</x:v>
      </x:c>
      <x:c r="G49" s="7" t="str">
        <x:v>schedule</x:v>
      </x:c>
      <x:c r="H49" s="8" t="n">
        <x:v>0</x:v>
      </x:c>
      <x:c r="I49" s="8" t="n">
        <x:v>0</x:v>
      </x:c>
      <x:c r="J49" s="8" t="n">
        <x:v>0</x:v>
      </x:c>
      <x:c r="K49" s="8" t="n">
        <x:v>0</x:v>
      </x:c>
      <x:c r="L49" s="8" t="n">
        <x:v>0</x:v>
      </x:c>
      <x:c r="M49" s="8" t="n">
        <x:v>0</x:v>
      </x:c>
      <x:c r="N49" s="7" t="str">
        <x:v>status, module</x:v>
      </x:c>
      <x:c r="O49" s="7" t="str">
        <x:v>{"status":"clarification","module":null}</x:v>
      </x:c>
      <x:c r="P49" s="7" t="str">
        <x:v>{"status":"draft","reason":null,"module":"schedule","draft":null,"fields":{"id":"89e409c1-8fea-4a8e-9c80-0d153ee07bb1","title":"Appointments","notes":"","date":"2026-10-07","time":null,"amount":null,"kind":null,"category":null,"account":null,"timezone":"America/Los_Angeles"}}</x:v>
      </x:c>
      <x:c r="Q49" s="7" t="str">
        <x:v>{"intent":"single_task","module":"schedule","title":"Appointments","notes":"","date_text":"tomorrow","time_text":"all"}</x:v>
      </x:c>
      <x:c r="R49" s="8" t="n">
        <x:v>1</x:v>
      </x:c>
      <x:c r="S49" s="8" t="n">
        <x:v>0</x:v>
      </x:c>
      <x:c r="T49" s="8" t="n">
        <x:v>0</x:v>
      </x:c>
      <x:c r="U49" s="8" t="n">
        <x:v>0</x:v>
      </x:c>
      <x:c r="V49" s="7" t="str">
        <x:v>unsupported_query</x:v>
      </x:c>
    </x:row>
    <x:row r="50" ht="88" customHeight="1">
      <x:c r="A50" s="7" t="str">
        <x:v>mh4-health-zh-11</x:v>
      </x:c>
      <x:c r="B50" s="7" t="str">
        <x:v>health</x:v>
      </x:c>
      <x:c r="C50" s="7" t="str">
        <x:v>健康页面打开一下，我自己看。</x:v>
      </x:c>
      <x:c r="D50" s="7" t="str">
        <x:v>draft</x:v>
      </x:c>
      <x:c r="E50" s="7" t="str">
        <x:v>health</x:v>
      </x:c>
      <x:c r="F50" s="7" t="str">
        <x:v>clarification</x:v>
      </x:c>
      <x:c r="G50" s="7" t="str"/>
      <x:c r="H50" s="8" t="n">
        <x:v>0</x:v>
      </x:c>
      <x:c r="I50" s="8" t="n">
        <x:v>0</x:v>
      </x:c>
      <x:c r="J50" s="8" t="n">
        <x:v>0</x:v>
      </x:c>
      <x:c r="K50" s="8" t="n">
        <x:v>0</x:v>
      </x:c>
      <x:c r="L50" s="8" t="n">
        <x:v>1</x:v>
      </x:c>
      <x:c r="M50" s="8" t="n">
        <x:v>0</x:v>
      </x:c>
      <x:c r="N50" s="7" t="str">
        <x:v>status, module</x:v>
      </x:c>
      <x:c r="O50" s="7" t="str">
        <x:v>{"status":"draft","module":"health"}</x:v>
      </x:c>
      <x:c r="P50" s="7" t="str">
        <x:v>{"status":"clarification","reason":"health_unsupported","module":null,"draft":null,"fields":null}</x:v>
      </x:c>
      <x:c r="Q50" s="7" t="str">
        <x:v>{"intent":"single_task","module":"health","title":"查看健康页面","notes":""}</x:v>
      </x:c>
      <x:c r="R50" s="8" t="n">
        <x:v>1</x:v>
      </x:c>
      <x:c r="S50" s="8" t="n">
        <x:v>1</x:v>
      </x:c>
      <x:c r="T50" s="8" t="n">
        <x:v>0</x:v>
      </x:c>
      <x:c r="U50" s="8" t="n">
        <x:v>0</x:v>
      </x:c>
      <x:c r="V50" s="7" t="str">
        <x:v>open_page</x:v>
      </x:c>
    </x:row>
    <x:row r="51" ht="88" customHeight="1">
      <x:c r="A51" s="7" t="str">
        <x:v>mh4-schedule-zh-17</x:v>
      </x:c>
      <x:c r="B51" s="7" t="str">
        <x:v>schedule</x:v>
      </x:c>
      <x:c r="C51" s="7" t="str">
        <x:v>周日22:15跟Zoë视频聊留学申请🌍，记为日程。</x:v>
      </x:c>
      <x:c r="D51" s="7" t="str">
        <x:v>draft</x:v>
      </x:c>
      <x:c r="E51" s="7" t="str">
        <x:v>schedule</x:v>
      </x:c>
      <x:c r="F51" s="7" t="str">
        <x:v>draft</x:v>
      </x:c>
      <x:c r="G51" s="7" t="str">
        <x:v>schedule</x:v>
      </x:c>
      <x:c r="H51" s="8" t="n">
        <x:v>1</x:v>
      </x:c>
      <x:c r="I51" s="8" t="n">
        <x:v>1</x:v>
      </x:c>
      <x:c r="J51" s="8" t="n">
        <x:v>2</x:v>
      </x:c>
      <x:c r="K51" s="8" t="n">
        <x:v>0</x:v>
      </x:c>
      <x:c r="L51" s="8" t="n">
        <x:v>1</x:v>
      </x:c>
      <x:c r="M51" s="8" t="n">
        <x:v>0</x:v>
      </x:c>
      <x:c r="N51" s="7" t="str">
        <x:v>date</x:v>
      </x:c>
      <x:c r="O51" s="7" t="str">
        <x:v>{"status":"draft","module":"schedule","title":{"containsAny":["Zoë","留学"]},"date":"2026-10-11","time":"22:15"}</x:v>
      </x:c>
      <x:c r="P51" s="7" t="str">
        <x:v>{"status":"draft","reason":null,"module":"schedule","draft":null,"fields":{"id":"f44bcbaf-db95-472d-aeac-a47d4444deff","title":"视频聊留学申请","notes":"周日22:15","date":null,"time":"22:15","amount":null,"kind":null,"category":null,"account":null,"timezone":"Asia/Shanghai"}}</x:v>
      </x:c>
      <x:c r="Q51" s="7" t="str">
        <x:v>{"intent":"single_task","module":"schedule","title":"视频聊留学申请","notes":"周日22:15","date_text":"周日","time_text":"22:15"}</x:v>
      </x:c>
      <x:c r="R51" s="8" t="n">
        <x:v>1</x:v>
      </x:c>
      <x:c r="S51" s="8" t="n">
        <x:v>1</x:v>
      </x:c>
      <x:c r="T51" s="8" t="n">
        <x:v>1</x:v>
      </x:c>
      <x:c r="U51" s="8" t="n">
        <x:v>0</x:v>
      </x:c>
      <x:c r="V51" s="7" t="str">
        <x:v>unicode</x:v>
      </x:c>
    </x:row>
    <x:row r="52" ht="88" customHeight="1">
      <x:c r="A52" s="7" t="str">
        <x:v>mh4-memo-en-07</x:v>
      </x:c>
      <x:c r="B52" s="7" t="str">
        <x:v>memo</x:v>
      </x:c>
      <x:c r="C52" s="7" t="str">
        <x:v>No calendar booking please. Just jot down that the lift code ends in 48.</x:v>
      </x:c>
      <x:c r="D52" s="7" t="str">
        <x:v>draft</x:v>
      </x:c>
      <x:c r="E52" s="7" t="str">
        <x:v>memo</x:v>
      </x:c>
      <x:c r="F52" s="7" t="str">
        <x:v>draft</x:v>
      </x:c>
      <x:c r="G52" s="7" t="str">
        <x:v>schedule</x:v>
      </x:c>
      <x:c r="H52" s="8" t="n">
        <x:v>0</x:v>
      </x:c>
      <x:c r="I52" s="8" t="n">
        <x:v>1</x:v>
      </x:c>
      <x:c r="J52" s="8" t="n">
        <x:v>1</x:v>
      </x:c>
      <x:c r="K52" s="8" t="n">
        <x:v>0</x:v>
      </x:c>
      <x:c r="L52" s="8" t="n">
        <x:v>1</x:v>
      </x:c>
      <x:c r="M52" s="8" t="n">
        <x:v>0</x:v>
      </x:c>
      <x:c r="N52" s="7" t="str">
        <x:v>module, priority</x:v>
      </x:c>
      <x:c r="O52" s="7" t="str">
        <x:v>{"status":"draft","module":"memo","title":{"containsAny":["lift","code"]},"date":null,"priority":null}</x:v>
      </x:c>
      <x:c r="P52" s="7" t="str">
        <x:v>{"status":"draft","reason":null,"module":"schedule","draft":null,"fields":{"id":"f39e6f33-920a-4277-86ae-021e23cd1bf0","title":"Lift Code","notes":"Lift code ends in 48","date":null,"time":null,"amount":null,"kind":null,"category":null,"account":null,"timezone":"America/Los_Angeles"}}</x:v>
      </x:c>
      <x:c r="Q52" s="7" t="str">
        <x:v>{"intent":"single_task","module":"memo","title":"Lift Code","notes":"Lift code ends in 48","date_text":"null","time_text":"null"}</x:v>
      </x:c>
      <x:c r="R52" s="8" t="n">
        <x:v>1</x:v>
      </x:c>
      <x:c r="S52" s="8" t="n">
        <x:v>1</x:v>
      </x:c>
      <x:c r="T52" s="8" t="n">
        <x:v>1</x:v>
      </x:c>
      <x:c r="U52" s="8" t="n">
        <x:v>1</x:v>
      </x:c>
      <x:c r="V52" s="7" t="str">
        <x:v>negation</x:v>
      </x:c>
    </x:row>
    <x:row r="53" ht="88" customHeight="1">
      <x:c r="A53" s="7" t="str">
        <x:v>mh4-health-en-14</x:v>
      </x:c>
      <x:c r="B53" s="7" t="str">
        <x:v>health</x:v>
      </x:c>
      <x:c r="C53" s="7" t="str">
        <x:v>Which apps have taken up my time today? Display this device's usage.</x:v>
      </x:c>
      <x:c r="D53" s="7" t="str">
        <x:v>draft</x:v>
      </x:c>
      <x:c r="E53" s="7" t="str">
        <x:v>health</x:v>
      </x:c>
      <x:c r="F53" s="7" t="str">
        <x:v>clarification</x:v>
      </x:c>
      <x:c r="G53" s="7" t="str"/>
      <x:c r="H53" s="8" t="n">
        <x:v>0</x:v>
      </x:c>
      <x:c r="I53" s="8" t="n">
        <x:v>0</x:v>
      </x:c>
      <x:c r="J53" s="8" t="n">
        <x:v>0</x:v>
      </x:c>
      <x:c r="K53" s="8" t="n">
        <x:v>0</x:v>
      </x:c>
      <x:c r="L53" s="8" t="n">
        <x:v>1</x:v>
      </x:c>
      <x:c r="M53" s="8" t="n">
        <x:v>0</x:v>
      </x:c>
      <x:c r="N53" s="7" t="str">
        <x:v>status, module</x:v>
      </x:c>
      <x:c r="O53" s="7" t="str">
        <x:v>{"status":"draft","module":"health"}</x:v>
      </x:c>
      <x:c r="P53" s="7" t="str">
        <x:v>{"status":"clarification","reason":"health_unsupported","module":null,"draft":null,"fields":null}</x:v>
      </x:c>
      <x:c r="Q53" s="7" t="str">
        <x:v>{"intent":"single_task","module":"health","title":"查看手机使用时长","notes":""}</x:v>
      </x:c>
      <x:c r="R53" s="8" t="n">
        <x:v>1</x:v>
      </x:c>
      <x:c r="S53" s="8" t="n">
        <x:v>1</x:v>
      </x:c>
      <x:c r="T53" s="8" t="n">
        <x:v>0</x:v>
      </x:c>
      <x:c r="U53" s="8" t="n">
        <x:v>0</x:v>
      </x:c>
      <x:c r="V53" s="7" t="str">
        <x:v>app_breakdown</x:v>
      </x:c>
    </x:row>
    <x:row r="54" ht="88" customHeight="1">
      <x:c r="A54" s="7" t="str">
        <x:v>mh4-memo-zh-29</x:v>
      </x:c>
      <x:c r="B54" s="7" t="str">
        <x:v>memo</x:v>
      </x:c>
      <x:c r="C54" s="7" t="str">
        <x:v>直接给李师傅发短信，说我晚到十分钟。</x:v>
      </x:c>
      <x:c r="D54" s="7" t="str">
        <x:v>clarification</x:v>
      </x:c>
      <x:c r="E54" s="7" t="str"/>
      <x:c r="F54" s="7" t="str">
        <x:v>draft</x:v>
      </x:c>
      <x:c r="G54" s="7" t="str">
        <x:v>schedule</x:v>
      </x:c>
      <x:c r="H54" s="8" t="n">
        <x:v>0</x:v>
      </x:c>
      <x:c r="I54" s="8" t="n">
        <x:v>0</x:v>
      </x:c>
      <x:c r="J54" s="8" t="n">
        <x:v>0</x:v>
      </x:c>
      <x:c r="K54" s="8" t="n">
        <x:v>0</x:v>
      </x:c>
      <x:c r="L54" s="8" t="n">
        <x:v>0</x:v>
      </x:c>
      <x:c r="M54" s="8" t="n">
        <x:v>0</x:v>
      </x:c>
      <x:c r="N54" s="7" t="str">
        <x:v>status, module</x:v>
      </x:c>
      <x:c r="O54" s="7" t="str">
        <x:v>{"status":"clarification","module":null}</x:v>
      </x:c>
      <x:c r="P54" s="7" t="str">
        <x:v>{"status":"draft","reason":null,"module":"schedule","draft":null,"fields":{"id":"b9a901db-1bf1-4e4b-8dfc-a25c97a6c182","title":"发短信","notes":"晚到十分钟","date":null,"time":null,"amount":null,"kind":null,"category":null,"account":null,"timezone":"Asia/Shanghai"}}</x:v>
      </x:c>
      <x:c r="Q54" s="7" t="str">
        <x:v>{"intent":"single_task","module":"schedule","title":"发短信","notes":"晚到十分钟","date_text":"null","time_text":"null"}</x:v>
      </x:c>
      <x:c r="R54" s="8" t="n">
        <x:v>1</x:v>
      </x:c>
      <x:c r="S54" s="8" t="n">
        <x:v>0</x:v>
      </x:c>
      <x:c r="T54" s="8" t="n">
        <x:v>0</x:v>
      </x:c>
      <x:c r="U54" s="8" t="n">
        <x:v>0</x:v>
      </x:c>
      <x:c r="V54" s="7" t="str">
        <x:v>external_action</x:v>
      </x:c>
    </x:row>
    <x:row r="55" ht="88" customHeight="1">
      <x:c r="A55" s="7" t="str">
        <x:v>mh4-memo-zh-12</x:v>
      </x:c>
      <x:c r="B55" s="7" t="str">
        <x:v>memo</x:v>
      </x:c>
      <x:c r="C55" s="7" t="str">
        <x:v>截止2026-12-19，把老家地址寄给快递员。</x:v>
      </x:c>
      <x:c r="D55" s="7" t="str">
        <x:v>draft</x:v>
      </x:c>
      <x:c r="E55" s="7" t="str">
        <x:v>memo</x:v>
      </x:c>
      <x:c r="F55" s="7" t="str">
        <x:v>draft</x:v>
      </x:c>
      <x:c r="G55" s="7" t="str">
        <x:v>schedule</x:v>
      </x:c>
      <x:c r="H55" s="8" t="n">
        <x:v>0</x:v>
      </x:c>
      <x:c r="I55" s="8" t="n">
        <x:v>0</x:v>
      </x:c>
      <x:c r="J55" s="8" t="n">
        <x:v>1</x:v>
      </x:c>
      <x:c r="K55" s="8" t="n">
        <x:v>0</x:v>
      </x:c>
      <x:c r="L55" s="8" t="n">
        <x:v>1</x:v>
      </x:c>
      <x:c r="M55" s="8" t="n">
        <x:v>0</x:v>
      </x:c>
      <x:c r="N55" s="7" t="str">
        <x:v>module, title, priority</x:v>
      </x:c>
      <x:c r="O55" s="7" t="str">
        <x:v>{"status":"draft","module":"memo","title":{"containsAny":["地址"]},"date":"2026-12-19","priority":null}</x:v>
      </x:c>
      <x:c r="P55" s="7" t="str">
        <x:v>{"status":"draft","reason":null,"module":"schedule","draft":null,"fields":{"id":"dcecebdd-177f-4842-b7df-9fb874e570c4","title":"寄给快递员","notes":"老家地址","date":"2026-12-19","time":null,"amount":null,"kind":null,"category":null,"account":null,"timezone":"Asia/Shanghai"}}</x:v>
      </x:c>
      <x:c r="Q55" s="7" t="str">
        <x:v>{"intent":"single_task","module":"schedule","title":"寄给快递员","notes":"老家地址","date_text":"2026-12-19"}</x:v>
      </x:c>
      <x:c r="R55" s="8" t="n">
        <x:v>1</x:v>
      </x:c>
      <x:c r="S55" s="8" t="n">
        <x:v>0</x:v>
      </x:c>
      <x:c r="T55" s="8" t="n">
        <x:v>1</x:v>
      </x:c>
      <x:c r="U55" s="8" t="n">
        <x:v>1</x:v>
      </x:c>
      <x:c r="V55" s="7" t="str">
        <x:v>absolute_date</x:v>
      </x:c>
    </x:row>
    <x:row r="56" ht="90" customHeight="1">
      <x:c r="A56" s="7" t="str">
        <x:v>mh4-memo-en-10</x:v>
      </x:c>
      <x:c r="B56" s="7" t="str">
        <x:v>memo</x:v>
      </x:c>
      <x:c r="C56" s="7" t="str">
        <x:v>In 4 days, return the rented microphone; put it on my checklist.</x:v>
      </x:c>
      <x:c r="D56" s="7" t="str">
        <x:v>draft</x:v>
      </x:c>
      <x:c r="E56" s="7" t="str">
        <x:v>memo</x:v>
      </x:c>
      <x:c r="F56" s="7" t="str">
        <x:v>draft</x:v>
      </x:c>
      <x:c r="G56" s="7" t="str">
        <x:v>schedule</x:v>
      </x:c>
      <x:c r="H56" s="8" t="n">
        <x:v>0</x:v>
      </x:c>
      <x:c r="I56" s="8" t="n">
        <x:v>1</x:v>
      </x:c>
      <x:c r="J56" s="8" t="n">
        <x:v>1</x:v>
      </x:c>
      <x:c r="K56" s="8" t="n">
        <x:v>0</x:v>
      </x:c>
      <x:c r="L56" s="8" t="n">
        <x:v>1</x:v>
      </x:c>
      <x:c r="M56" s="8" t="n">
        <x:v>0</x:v>
      </x:c>
      <x:c r="N56" s="7" t="str">
        <x:v>module, priority</x:v>
      </x:c>
      <x:c r="O56" s="7" t="str">
        <x:v>{"status":"draft","module":"memo","title":{"containsAny":["microphone"]},"date":"2026-10-10","priority":null}</x:v>
      </x:c>
      <x:c r="P56" s="7" t="str">
        <x:v>{"status":"draft","reason":null,"module":"schedule","draft":null,"fields":{"id":"823fbd22-1670-40fe-b1db-b77e04572b36","title":"Return rented microphone","notes":"put it on my checklist","date":"2026-10-10","time":null,"amount":null,"kind":null,"category":null,"account":null,"timezone":"America/Los_Angeles"}}</x:v>
      </x:c>
      <x:c r="Q56" s="7" t="str">
        <x:v>{"intent":"single_task","module":"schedule","title":"Return rented microphone","notes":"put it on my checklist","date_text":"4 days from now"}</x:v>
      </x:c>
      <x:c r="R56" s="8" t="n">
        <x:v>1</x:v>
      </x:c>
      <x:c r="S56" s="8" t="n">
        <x:v>0</x:v>
      </x:c>
      <x:c r="T56" s="8" t="n">
        <x:v>1</x:v>
      </x:c>
      <x:c r="U56" s="8" t="n">
        <x:v>1</x:v>
      </x:c>
      <x:c r="V56" s="7" t="str">
        <x:v>relative_date</x:v>
      </x:c>
    </x:row>
    <x:row r="57" ht="88" customHeight="1">
      <x:c r="A57" s="7" t="str">
        <x:v>mh4-schedule-en-24</x:v>
      </x:c>
      <x:c r="B57" s="7" t="str">
        <x:v>schedule</x:v>
      </x:c>
      <x:c r="C57" s="7" t="str">
        <x:v>Rehearsal with the band "Next Tuesday" tomorrow at 5pm; the band name is not a date.</x:v>
      </x:c>
      <x:c r="D57" s="7" t="str">
        <x:v>draft</x:v>
      </x:c>
      <x:c r="E57" s="7" t="str">
        <x:v>schedule</x:v>
      </x:c>
      <x:c r="F57" s="7" t="str">
        <x:v>draft</x:v>
      </x:c>
      <x:c r="G57" s="7" t="str">
        <x:v>schedule</x:v>
      </x:c>
      <x:c r="H57" s="8" t="n">
        <x:v>1</x:v>
      </x:c>
      <x:c r="I57" s="8" t="n">
        <x:v>1</x:v>
      </x:c>
      <x:c r="J57" s="8" t="n">
        <x:v>2</x:v>
      </x:c>
      <x:c r="K57" s="8" t="n">
        <x:v>0</x:v>
      </x:c>
      <x:c r="L57" s="8" t="n">
        <x:v>1</x:v>
      </x:c>
      <x:c r="M57" s="8" t="n">
        <x:v>0</x:v>
      </x:c>
      <x:c r="N57" s="7" t="str">
        <x:v>date</x:v>
      </x:c>
      <x:c r="O57" s="7" t="str">
        <x:v>{"status":"draft","module":"schedule","title":{"containsAny":["rehearsal","band"]},"date":"2026-10-07","time":"17:00"}</x:v>
      </x:c>
      <x:c r="P57" s="7" t="str">
        <x:v>{"status":"draft","reason":null,"module":"schedule","draft":null,"fields":{"id":"63dc984a-51b6-426d-b380-582f747c4f56","title":"Rehearsal with the band","notes":"","date":null,"time":"17:00","amount":null,"kind":null,"category":null,"account":null,"timezone":"America/Los_Angeles"}}</x:v>
      </x:c>
      <x:c r="Q57" s="7" t="str">
        <x:v>{"intent":"single_task","module":"schedule","title":"Rehearsal with the band","notes":"","date_text":"tomorrow","time_text":"5pm"}</x:v>
      </x:c>
      <x:c r="R57" s="8" t="n">
        <x:v>1</x:v>
      </x:c>
      <x:c r="S57" s="8" t="n">
        <x:v>1</x:v>
      </x:c>
      <x:c r="T57" s="8" t="n">
        <x:v>1</x:v>
      </x:c>
      <x:c r="U57" s="8" t="n">
        <x:v>0</x:v>
      </x:c>
      <x:c r="V57" s="7" t="str">
        <x:v>quoted_date</x:v>
      </x:c>
    </x:row>
    <x:row r="58" ht="88" customHeight="1">
      <x:c r="A58" s="7" t="str">
        <x:v>mh4-schedule-zh-26</x:v>
      </x:c>
      <x:c r="B58" s="7" t="str">
        <x:v>schedule</x:v>
      </x:c>
      <x:c r="C58" s="7" t="str">
        <x:v>把原定周四的驾校课挪到周五。</x:v>
      </x:c>
      <x:c r="D58" s="7" t="str">
        <x:v>clarification</x:v>
      </x:c>
      <x:c r="E58" s="7" t="str"/>
      <x:c r="F58" s="7" t="str">
        <x:v>draft</x:v>
      </x:c>
      <x:c r="G58" s="7" t="str">
        <x:v>schedule</x:v>
      </x:c>
      <x:c r="H58" s="8" t="n">
        <x:v>0</x:v>
      </x:c>
      <x:c r="I58" s="8" t="n">
        <x:v>0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7" t="str">
        <x:v>status, module</x:v>
      </x:c>
      <x:c r="O58" s="7" t="str">
        <x:v>{"status":"clarification","module":null}</x:v>
      </x:c>
      <x:c r="P58" s="7" t="str">
        <x:v>{"status":"draft","reason":null,"module":"schedule","draft":null,"fields":{"id":"e7e65da7-2cb9-48d5-befd-71512fc5b367","title":"驾校课","notes":"挪到周五","date":null,"time":null,"amount":null,"kind":null,"category":null,"account":null,"timezone":"Asia/Shanghai"}}</x:v>
      </x:c>
      <x:c r="Q58" s="7" t="str">
        <x:v>{"intent":"single_task","module":"schedule","title":"驾校课","notes":"挪到周五","date_text":"周四","time_text":"原定时间"}</x:v>
      </x:c>
      <x:c r="R58" s="8" t="n">
        <x:v>1</x:v>
      </x:c>
      <x:c r="S58" s="8" t="n">
        <x:v>0</x:v>
      </x:c>
      <x:c r="T58" s="8" t="n">
        <x:v>0</x:v>
      </x:c>
      <x:c r="U58" s="8" t="n">
        <x:v>0</x:v>
      </x:c>
      <x:c r="V58" s="7" t="str">
        <x:v>mutation</x:v>
      </x:c>
    </x:row>
    <x:row r="59" ht="90" customHeight="1">
      <x:c r="A59" s="7" t="str">
        <x:v>mh4-memo-en-18</x:v>
      </x:c>
      <x:c r="B59" s="7" t="str">
        <x:v>memo</x:v>
      </x:c>
      <x:c r="C59" s="7" t="str">
        <x:v>Do not log an expense; just make a task to check how tuition instalments work.</x:v>
      </x:c>
      <x:c r="D59" s="7" t="str">
        <x:v>draft</x:v>
      </x:c>
      <x:c r="E59" s="7" t="str">
        <x:v>memo</x:v>
      </x:c>
      <x:c r="F59" s="7" t="str">
        <x:v>draft</x:v>
      </x:c>
      <x:c r="G59" s="7" t="str">
        <x:v>memo</x:v>
      </x:c>
      <x:c r="H59" s="8" t="n">
        <x:v>1</x:v>
      </x:c>
      <x:c r="I59" s="8" t="n">
        <x:v>0</x:v>
      </x:c>
      <x:c r="J59" s="8" t="n">
        <x:v>1</x:v>
      </x:c>
      <x:c r="K59" s="8" t="n">
        <x:v>0</x:v>
      </x:c>
      <x:c r="L59" s="8" t="n">
        <x:v>1</x:v>
      </x:c>
      <x:c r="M59" s="8" t="n">
        <x:v>0</x:v>
      </x:c>
      <x:c r="N59" s="7" t="str">
        <x:v>title</x:v>
      </x:c>
      <x:c r="O59" s="7" t="str">
        <x:v>{"status":"draft","module":"memo","title":{"containsAny":["tuition","instalment"]},"date":null,"priority":null}</x:v>
      </x:c>
      <x:c r="P59" s="7" t="str">
        <x:v>{"status":"draft","reason":null,"draft":{"id":"3c552c57-428a-4130-88c9-2e5307bd7b90","title":"Do not log an expense","notes":"Do not log an expense","dueDate":null,"timezone":"America/Los_Angeles","priority":null,"dateText":null,"warnings":["date_missing","priority_missing"]},"module":"memo","fields":null}</x:v>
      </x:c>
      <x:c r="Q59" s="7" t="str">
        <x:v>{"intent":"single_task","module":"finance","title":"Check tuition instalments","notes":"Do not log an expense","date_text":"null","time_text":"null","priority":"null"}</x:v>
      </x:c>
      <x:c r="R59" s="8" t="n">
        <x:v>1</x:v>
      </x:c>
      <x:c r="S59" s="8" t="n">
        <x:v>0</x:v>
      </x:c>
      <x:c r="T59" s="8" t="n">
        <x:v>1</x:v>
      </x:c>
      <x:c r="U59" s="8" t="n">
        <x:v>1</x:v>
      </x:c>
      <x:c r="V59" s="7" t="str">
        <x:v>cross_module</x:v>
      </x:c>
    </x:row>
    <x:row r="60" ht="88" customHeight="1">
      <x:c r="A60" s="7" t="str">
        <x:v>mh4-finance-zh-19</x:v>
      </x:c>
      <x:c r="B60" s="7" t="str">
        <x:v>finance</x:v>
      </x:c>
      <x:c r="C60" s="7" t="str">
        <x:v>今天午餐36元，可能用支付宝也可能微信，忘记了。</x:v>
      </x:c>
      <x:c r="D60" s="7" t="str">
        <x:v>draft</x:v>
      </x:c>
      <x:c r="E60" s="7" t="str">
        <x:v>finance</x:v>
      </x:c>
      <x:c r="F60" s="7" t="str">
        <x:v>draft</x:v>
      </x:c>
      <x:c r="G60" s="7" t="str">
        <x:v>finance</x:v>
      </x:c>
      <x:c r="H60" s="8" t="n">
        <x:v>1</x:v>
      </x:c>
      <x:c r="I60" s="8" t="n">
        <x:v>5</x:v>
      </x:c>
      <x:c r="J60" s="8" t="n">
        <x:v>6</x:v>
      </x:c>
      <x:c r="K60" s="8" t="n">
        <x:v>0</x:v>
      </x:c>
      <x:c r="L60" s="8" t="n">
        <x:v>1</x:v>
      </x:c>
      <x:c r="M60" s="8" t="n">
        <x:v>0</x:v>
      </x:c>
      <x:c r="N60" s="7" t="str">
        <x:v>kind</x:v>
      </x:c>
      <x:c r="O60" s="7" t="str">
        <x:v>{"status":"draft","module":"finance","title":{"containsAny":["午餐"]},"amount":"36","kind":"expense","category":"Food &amp; Drinks","account":null,"date":"2026-10-06"}</x:v>
      </x:c>
      <x:c r="P60" s="7" t="str">
        <x:v>{"status":"draft","reason":null,"module":"finance","draft":null,"fields":{"id":"ab3b88fd-a39f-4087-ab7a-f6a7ee425708","title":"午餐","notes":"","date":"2026-10-06","time":null,"amount":"36","kind":null,"category":"Food &amp; Drinks","account":null,"timezone":"Asia/Shanghai"}}</x:v>
      </x:c>
      <x:c r="Q60" s="7" t="str">
        <x:v>{"intent":"single_task","module":"finance","title":"午餐","notes":"","date_text":"今天","amount":"36","kind":"expense","category":"Food &amp; Drinks","account":"支付宝"}</x:v>
      </x:c>
      <x:c r="R60" s="8" t="n">
        <x:v>1</x:v>
      </x:c>
      <x:c r="S60" s="8" t="n">
        <x:v>1</x:v>
      </x:c>
      <x:c r="T60" s="8" t="n">
        <x:v>1</x:v>
      </x:c>
      <x:c r="U60" s="8" t="n">
        <x:v>1</x:v>
      </x:c>
      <x:c r="V60" s="7" t="str">
        <x:v>uncertain_account</x:v>
      </x:c>
    </x:row>
    <x:row r="61" ht="88" customHeight="1">
      <x:c r="A61" s="7" t="str">
        <x:v>mh4-health-zh-01</x:v>
      </x:c>
      <x:c r="B61" s="7" t="str">
        <x:v>health</x:v>
      </x:c>
      <x:c r="C61" s="7" t="str">
        <x:v>我想核对今天花在手机上的总时数，打开相关用时界面。</x:v>
      </x:c>
      <x:c r="D61" s="7" t="str">
        <x:v>draft</x:v>
      </x:c>
      <x:c r="E61" s="7" t="str">
        <x:v>health</x:v>
      </x:c>
      <x:c r="F61" s="7" t="str">
        <x:v>clarification</x:v>
      </x:c>
      <x:c r="G61" s="7" t="str"/>
      <x:c r="H61" s="8" t="n">
        <x:v>0</x:v>
      </x:c>
      <x:c r="I61" s="8" t="n">
        <x:v>0</x:v>
      </x:c>
      <x:c r="J61" s="8" t="n">
        <x:v>0</x:v>
      </x:c>
      <x:c r="K61" s="8" t="n">
        <x:v>0</x:v>
      </x:c>
      <x:c r="L61" s="8" t="n">
        <x:v>1</x:v>
      </x:c>
      <x:c r="M61" s="8" t="n">
        <x:v>0</x:v>
      </x:c>
      <x:c r="N61" s="7" t="str">
        <x:v>status, module</x:v>
      </x:c>
      <x:c r="O61" s="7" t="str">
        <x:v>{"status":"draft","module":"health"}</x:v>
      </x:c>
      <x:c r="P61" s="7" t="str">
        <x:v>{"status":"clarification","reason":"health_unsupported","module":null,"draft":null,"fields":null}</x:v>
      </x:c>
      <x:c r="Q61" s="7" t="str">
        <x:v>{"intent":"single_task","module":"health","title":"查看手机使用时长","notes":""}</x:v>
      </x:c>
      <x:c r="R61" s="8" t="n">
        <x:v>1</x:v>
      </x:c>
      <x:c r="S61" s="8" t="n">
        <x:v>1</x:v>
      </x:c>
      <x:c r="T61" s="8" t="n">
        <x:v>0</x:v>
      </x:c>
      <x:c r="U61" s="8" t="n">
        <x:v>0</x:v>
      </x:c>
      <x:c r="V61" s="7" t="str">
        <x:v>colloquial</x:v>
      </x:c>
    </x:row>
    <x:row r="62" ht="88" customHeight="1">
      <x:c r="A62" s="7" t="str">
        <x:v>mh4-schedule-zh-29</x:v>
      </x:c>
      <x:c r="B62" s="7" t="str">
        <x:v>schedule</x:v>
      </x:c>
      <x:c r="C62" s="7" t="str">
        <x:v>周日9点加个登山日程，另记今天购买登山杖花费70元。</x:v>
      </x:c>
      <x:c r="D62" s="7" t="str">
        <x:v>clarification</x:v>
      </x:c>
      <x:c r="E62" s="7" t="str"/>
      <x:c r="F62" s="7" t="str"/>
      <x:c r="G62" s="7" t="str"/>
      <x:c r="H62" s="8" t="n">
        <x:v>0</x:v>
      </x:c>
      <x:c r="I62" s="8" t="n">
        <x:v>0</x:v>
      </x:c>
      <x:c r="J62" s="8" t="n">
        <x:v>0</x:v>
      </x:c>
      <x:c r="K62" s="8" t="n">
        <x:v>0</x:v>
      </x:c>
      <x:c r="L62" s="8" t="n">
        <x:v>0</x:v>
      </x:c>
      <x:c r="M62" s="8" t="n">
        <x:v>0</x:v>
      </x:c>
      <x:c r="N62" s="7" t="str">
        <x:v>ValueError</x:v>
      </x:c>
      <x:c r="O62" s="7" t="str">
        <x:v>{"status":"clarification","module":null}</x:v>
      </x:c>
      <x:c r="P62" s="7" t="str">
        <x:v>{}</x:v>
      </x:c>
      <x:c r="Q62" s="7" t="str">
        <x:v>{"intent":"single_task","module":"schedule","title":"登山","notes":"9点","date_text":"周日","time_text":"9:00"} {"intent":"single_task","module":"finance","title":"登山杖购买","notes":"70元","date_text":"今天","amount":"70","kind":"expense","category":"Others","account":"其他账户"}</x:v>
      </x:c>
      <x:c r="R62" s="8" t="n">
        <x:v>1</x:v>
      </x:c>
      <x:c r="S62" s="8" t="n">
        <x:v>0</x:v>
      </x:c>
      <x:c r="T62" s="8" t="n">
        <x:v>0</x:v>
      </x:c>
      <x:c r="U62" s="8" t="n">
        <x:v>0</x:v>
      </x:c>
      <x:c r="V62" s="7" t="str">
        <x:v>multiple_actions</x:v>
      </x:c>
    </x:row>
    <x:row r="63" ht="88" customHeight="1">
      <x:c r="A63" s="7" t="str">
        <x:v>mh4-finance-zh-25</x:v>
      </x:c>
      <x:c r="B63" s="7" t="str">
        <x:v>finance</x:v>
      </x:c>
      <x:c r="C63" s="7" t="str">
        <x:v>将之前那笔披萨消费从50改成45元。</x:v>
      </x:c>
      <x:c r="D63" s="7" t="str">
        <x:v>clarification</x:v>
      </x:c>
      <x:c r="E63" s="7" t="str"/>
      <x:c r="F63" s="7" t="str"/>
      <x:c r="G63" s="7" t="str"/>
      <x:c r="H63" s="8" t="n">
        <x:v>0</x:v>
      </x:c>
      <x:c r="I63" s="8" t="n">
        <x:v>0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7" t="str">
        <x:v>invalid_model_output</x:v>
      </x:c>
      <x:c r="O63" s="7" t="str">
        <x:v>{"status":"clarification","module":null}</x:v>
      </x:c>
      <x:c r="P63" s="7" t="str">
        <x:v>{}</x:v>
      </x:c>
      <x:c r="Q63" s="7" t="str">
        <x:v>{"intent":"single_task","module":"finance","title":"披萨消费","notes":"50元","old_amount":"50","new_amount":"45","kind":"expense","category":"Food &amp; Drinks","account":"Cash"}</x:v>
      </x:c>
      <x:c r="R63" s="8" t="n">
        <x:v>1</x:v>
      </x:c>
      <x:c r="S63" s="8" t="n">
        <x:v>0</x:v>
      </x:c>
      <x:c r="T63" s="8" t="n">
        <x:v>0</x:v>
      </x:c>
      <x:c r="U63" s="8" t="n">
        <x:v>0</x:v>
      </x:c>
      <x:c r="V63" s="7" t="str">
        <x:v>mutation</x:v>
      </x:c>
    </x:row>
    <x:row r="64" ht="88" customHeight="1">
      <x:c r="A64" s="7" t="str">
        <x:v>mh4-schedule-zh-16</x:v>
      </x:c>
      <x:c r="B64" s="7" t="str">
        <x:v>schedule</x:v>
      </x:c>
      <x:c r="C64" s="7" t="str">
        <x:v>日程名称是“领取”，内容为明天下午两点去拿补办的证件。</x:v>
      </x:c>
      <x:c r="D64" s="7" t="str">
        <x:v>draft</x:v>
      </x:c>
      <x:c r="E64" s="7" t="str">
        <x:v>schedule</x:v>
      </x:c>
      <x:c r="F64" s="7" t="str">
        <x:v>draft</x:v>
      </x:c>
      <x:c r="G64" s="7" t="str">
        <x:v>schedule</x:v>
      </x:c>
      <x:c r="H64" s="8" t="n">
        <x:v>1</x:v>
      </x:c>
      <x:c r="I64" s="8" t="n">
        <x:v>2</x:v>
      </x:c>
      <x:c r="J64" s="8" t="n">
        <x:v>2</x:v>
      </x:c>
      <x:c r="K64" s="8" t="n">
        <x:v>0</x:v>
      </x:c>
      <x:c r="L64" s="8" t="n">
        <x:v>1</x:v>
      </x:c>
      <x:c r="M64" s="8" t="n">
        <x:v>0</x:v>
      </x:c>
      <x:c r="N64" s="7" t="str">
        <x:v>time</x:v>
      </x:c>
      <x:c r="O64" s="7" t="str">
        <x:v>{"status":"draft","module":"schedule","title":{"containsAny":["领取"]},"date":"2026-10-07","time":"14:00"}</x:v>
      </x:c>
      <x:c r="P64" s="7" t="str">
        <x:v>{"status":"draft","reason":null,"module":"schedule","draft":null,"fields":{"id":"20954f89-7743-4669-afc0-daded93474b7","title":"领取证件","notes":"","date":"2026-10-07","time":null,"amount":null,"kind":null,"category":null,"account":null,"timezone":"Asia/Shanghai"}}</x:v>
      </x:c>
      <x:c r="Q64" s="7" t="str">
        <x:v>{"intent":"single_task","module":"schedule","title":"领取证件","notes":"","date_text":"明天","time_text":"下午两点"}</x:v>
      </x:c>
      <x:c r="R64" s="8" t="n">
        <x:v>1</x:v>
      </x:c>
      <x:c r="S64" s="8" t="n">
        <x:v>1</x:v>
      </x:c>
      <x:c r="T64" s="8" t="n">
        <x:v>1</x:v>
      </x:c>
      <x:c r="U64" s="8" t="n">
        <x:v>1</x:v>
      </x:c>
      <x:c r="V64" s="7" t="str">
        <x:v>explicit_title</x:v>
      </x:c>
    </x:row>
    <x:row r="65" ht="88" customHeight="1">
      <x:c r="A65" s="7" t="str">
        <x:v>mh4-finance-zh-30</x:v>
      </x:c>
      <x:c r="B65" s="7" t="str">
        <x:v>finance</x:v>
      </x:c>
      <x:c r="C65" s="7" t="str">
        <x:v>现在直接从支付宝给房东转2000元。</x:v>
      </x:c>
      <x:c r="D65" s="7" t="str">
        <x:v>clarification</x:v>
      </x:c>
      <x:c r="E65" s="7" t="str"/>
      <x:c r="F65" s="7" t="str">
        <x:v>draft</x:v>
      </x:c>
      <x:c r="G65" s="7" t="str">
        <x:v>finance</x:v>
      </x:c>
      <x:c r="H65" s="8" t="n">
        <x:v>0</x:v>
      </x:c>
      <x:c r="I65" s="8" t="n">
        <x:v>0</x:v>
      </x:c>
      <x:c r="J65" s="8" t="n">
        <x:v>0</x:v>
      </x:c>
      <x:c r="K65" s="8" t="n">
        <x:v>0</x:v>
      </x:c>
      <x:c r="L65" s="8" t="n">
        <x:v>0</x:v>
      </x:c>
      <x:c r="M65" s="8" t="n">
        <x:v>0</x:v>
      </x:c>
      <x:c r="N65" s="7" t="str">
        <x:v>status, module</x:v>
      </x:c>
      <x:c r="O65" s="7" t="str">
        <x:v>{"status":"clarification","module":null}</x:v>
      </x:c>
      <x:c r="P65" s="7" t="str">
        <x:v>{"status":"draft","reason":null,"module":"finance","draft":null,"fields":{"id":"a248d48f-6198-48a1-bb48-7dfdc3d16f76","title":"现在直接从支付宝给房东转2000元","notes":"给房东","date":null,"time":null,"amount":"2000","kind":"expense","category":"Others","account":"Alipay","timezone":"Asia/Shanghai"}}</x:v>
      </x:c>
      <x:c r="Q65" s="7" t="str">
        <x:v>{"intent":"single_task","module":"finance","title":"转账","notes":"给房东","amount":"2000","kind":"expense","category":"Others","account":"Alipay"}</x:v>
      </x:c>
      <x:c r="R65" s="8" t="n">
        <x:v>1</x:v>
      </x:c>
      <x:c r="S65" s="8" t="n">
        <x:v>0</x:v>
      </x:c>
      <x:c r="T65" s="8" t="n">
        <x:v>0</x:v>
      </x:c>
      <x:c r="U65" s="8" t="n">
        <x:v>0</x:v>
      </x:c>
      <x:c r="V65" s="7" t="str">
        <x:v>external_action</x:v>
      </x:c>
    </x:row>
    <x:row r="66" ht="88" customHeight="1">
      <x:c r="A66" s="7" t="str">
        <x:v>mh4-health-en-01</x:v>
      </x:c>
      <x:c r="B66" s="7" t="str">
        <x:v>health</x:v>
      </x:c>
      <x:c r="C66" s="7" t="str">
        <x:v>How much of today have I burned on my phone? Take me to the stats.</x:v>
      </x:c>
      <x:c r="D66" s="7" t="str">
        <x:v>draft</x:v>
      </x:c>
      <x:c r="E66" s="7" t="str">
        <x:v>health</x:v>
      </x:c>
      <x:c r="F66" s="7" t="str">
        <x:v>clarification</x:v>
      </x:c>
      <x:c r="G66" s="7" t="str"/>
      <x:c r="H66" s="8" t="n">
        <x:v>0</x:v>
      </x:c>
      <x:c r="I66" s="8" t="n">
        <x:v>0</x:v>
      </x:c>
      <x:c r="J66" s="8" t="n">
        <x:v>0</x:v>
      </x:c>
      <x:c r="K66" s="8" t="n">
        <x:v>0</x:v>
      </x:c>
      <x:c r="L66" s="8" t="n">
        <x:v>1</x:v>
      </x:c>
      <x:c r="M66" s="8" t="n">
        <x:v>0</x:v>
      </x:c>
      <x:c r="N66" s="7" t="str">
        <x:v>status, module</x:v>
      </x:c>
      <x:c r="O66" s="7" t="str">
        <x:v>{"status":"draft","module":"health"}</x:v>
      </x:c>
      <x:c r="P66" s="7" t="str">
        <x:v>{"status":"clarification","reason":"health_unsupported","module":null,"draft":null,"fields":null}</x:v>
      </x:c>
      <x:c r="Q66" s="7" t="str">
        <x:v>{"intent":"single_task","module":"health","title":"查看手机使用时长","notes":""}</x:v>
      </x:c>
      <x:c r="R66" s="8" t="n">
        <x:v>1</x:v>
      </x:c>
      <x:c r="S66" s="8" t="n">
        <x:v>1</x:v>
      </x:c>
      <x:c r="T66" s="8" t="n">
        <x:v>0</x:v>
      </x:c>
      <x:c r="U66" s="8" t="n">
        <x:v>0</x:v>
      </x:c>
      <x:c r="V66" s="7" t="str">
        <x:v>colloquial</x:v>
      </x:c>
    </x:row>
    <x:row r="67" ht="88" customHeight="1">
      <x:c r="A67" s="7" t="str">
        <x:v>mh4-schedule-en-20</x:v>
      </x:c>
      <x:c r="B67" s="7" t="str">
        <x:v>schedule</x:v>
      </x:c>
      <x:c r="C67" s="7" t="str">
        <x:v>Tomorrow at noon we have a welcome lunch; put it on the calendar.</x:v>
      </x:c>
      <x:c r="D67" s="7" t="str">
        <x:v>draft</x:v>
      </x:c>
      <x:c r="E67" s="7" t="str">
        <x:v>schedule</x:v>
      </x:c>
      <x:c r="F67" s="7" t="str">
        <x:v>draft</x:v>
      </x:c>
      <x:c r="G67" s="7" t="str">
        <x:v>schedule</x:v>
      </x:c>
      <x:c r="H67" s="8" t="n">
        <x:v>1</x:v>
      </x:c>
      <x:c r="I67" s="8" t="n">
        <x:v>2</x:v>
      </x:c>
      <x:c r="J67" s="8" t="n">
        <x:v>2</x:v>
      </x:c>
      <x:c r="K67" s="8" t="n">
        <x:v>0</x:v>
      </x:c>
      <x:c r="L67" s="8" t="n">
        <x:v>1</x:v>
      </x:c>
      <x:c r="M67" s="8" t="n">
        <x:v>0</x:v>
      </x:c>
      <x:c r="N67" s="7" t="str">
        <x:v>time</x:v>
      </x:c>
      <x:c r="O67" s="7" t="str">
        <x:v>{"status":"draft","module":"schedule","title":{"containsAny":["welcome","lunch"]},"date":"2027-09-01","time":"12:00"}</x:v>
      </x:c>
      <x:c r="P67" s="7" t="str">
        <x:v>{"status":"draft","reason":null,"module":"schedule","draft":null,"fields":{"id":"8d029643-3590-4275-9223-55f67f6ca513","title":"Welcome Lunch","notes":"","date":"2027-09-01","time":null,"amount":null,"kind":null,"category":null,"account":null,"timezone":"America/Los_Angeles"}}</x:v>
      </x:c>
      <x:c r="Q67" s="7" t="str">
        <x:v>{"intent":"single_task","module":"schedule","title":"Welcome Lunch","notes":"","date_text":"tomorrow","time_text":"noon","priority":"normal"}</x:v>
      </x:c>
      <x:c r="R67" s="8" t="n">
        <x:v>1</x:v>
      </x:c>
      <x:c r="S67" s="8" t="n">
        <x:v>1</x:v>
      </x:c>
      <x:c r="T67" s="8" t="n">
        <x:v>1</x:v>
      </x:c>
      <x:c r="U67" s="8" t="n">
        <x:v>1</x:v>
      </x:c>
      <x:c r="V67" s="7" t="str">
        <x:v>month_boundary</x:v>
      </x:c>
    </x:row>
    <x:row r="68" ht="88" customHeight="1">
      <x:c r="A68" s="7" t="str">
        <x:v>mh4-memo-zh-26</x:v>
      </x:c>
      <x:c r="B68" s="7" t="str">
        <x:v>memo</x:v>
      </x:c>
      <x:c r="C68" s="7" t="str">
        <x:v>能把清单里已经完成的三项一次移除吗？</x:v>
      </x:c>
      <x:c r="D68" s="7" t="str">
        <x:v>clarification</x:v>
      </x:c>
      <x:c r="E68" s="7" t="str"/>
      <x:c r="F68" s="7" t="str">
        <x:v>draft</x:v>
      </x:c>
      <x:c r="G68" s="7" t="str">
        <x:v>memo</x:v>
      </x:c>
      <x:c r="H68" s="8" t="n">
        <x:v>0</x:v>
      </x:c>
      <x:c r="I68" s="8" t="n">
        <x:v>0</x:v>
      </x:c>
      <x:c r="J68" s="8" t="n">
        <x:v>0</x:v>
      </x:c>
      <x:c r="K68" s="8" t="n">
        <x:v>0</x:v>
      </x:c>
      <x:c r="L68" s="8" t="n">
        <x:v>0</x:v>
      </x:c>
      <x:c r="M68" s="8" t="n">
        <x:v>0</x:v>
      </x:c>
      <x:c r="N68" s="7" t="str">
        <x:v>status, module</x:v>
      </x:c>
      <x:c r="O68" s="7" t="str">
        <x:v>{"status":"clarification","module":null}</x:v>
      </x:c>
      <x:c r="P68" s="7" t="str">
        <x:v>{"status":"draft","reason":null,"draft":{"id":"dfa38cfc-842c-44e4-815f-db585467e14c","title":"移除已完成的三项","notes":"已完成的三项","dueDate":null,"timezone":"Asia/Shanghai","priority":null,"dateText":null,"warnings":["date_missing","priority_missing"]},"module":"memo","fields":null}</x:v>
      </x:c>
      <x:c r="Q68" s="7" t="str">
        <x:v>{"intent":"single_task","module":"memo","title":"移除已完成的三项","notes":"已完成的三项","date_text":"null","time_text":"null"}</x:v>
      </x:c>
      <x:c r="R68" s="8" t="n">
        <x:v>1</x:v>
      </x:c>
      <x:c r="S68" s="8" t="n">
        <x:v>0</x:v>
      </x:c>
      <x:c r="T68" s="8" t="n">
        <x:v>0</x:v>
      </x:c>
      <x:c r="U68" s="8" t="n">
        <x:v>0</x:v>
      </x:c>
      <x:c r="V68" s="7" t="str">
        <x:v>mutation</x:v>
      </x:c>
    </x:row>
    <x:row r="69" ht="90" customHeight="1">
      <x:c r="A69" s="7" t="str">
        <x:v>mh4-schedule-en-12</x:v>
      </x:c>
      <x:c r="B69" s="7" t="str">
        <x:v>schedule</x:v>
      </x:c>
      <x:c r="C69" s="7" t="str">
        <x:v>Not a task please: calendar event for rowing practice on Saturday at 8am.</x:v>
      </x:c>
      <x:c r="D69" s="7" t="str">
        <x:v>draft</x:v>
      </x:c>
      <x:c r="E69" s="7" t="str">
        <x:v>schedule</x:v>
      </x:c>
      <x:c r="F69" s="7" t="str">
        <x:v>draft</x:v>
      </x:c>
      <x:c r="G69" s="7" t="str">
        <x:v>memo</x:v>
      </x:c>
      <x:c r="H69" s="8" t="n">
        <x:v>0</x:v>
      </x:c>
      <x:c r="I69" s="8" t="n">
        <x:v>1</x:v>
      </x:c>
      <x:c r="J69" s="8" t="n">
        <x:v>2</x:v>
      </x:c>
      <x:c r="K69" s="8" t="n">
        <x:v>0</x:v>
      </x:c>
      <x:c r="L69" s="8" t="n">
        <x:v>1</x:v>
      </x:c>
      <x:c r="M69" s="8" t="n">
        <x:v>0</x:v>
      </x:c>
      <x:c r="N69" s="7" t="str">
        <x:v>module, date, time</x:v>
      </x:c>
      <x:c r="O69" s="7" t="str">
        <x:v>{"status":"draft","module":"schedule","title":{"containsAny":["rowing"]},"date":"2026-10-10","time":"08:00"}</x:v>
      </x:c>
      <x:c r="P69" s="7" t="str">
        <x:v>{"status":"draft","reason":null,"draft":{"id":"32c35997-feb2-4d67-8fcb-0c180a1bda12","title":"Not a task please: calendar event for rowing practice on Saturday at 8am.","notes":"","dueDate":null,"timezone":"America/Los_Angeles","priority":null,"dateText":"Saturday","warnings":["date_needs_review","priority_missing"]},"module":"memo","fields":null}</x:v>
      </x:c>
      <x:c r="Q69" s="7" t="str">
        <x:v>{"intent":"single_task","module":"schedule","title":"Rowing Practice","notes":"","date_text":"Saturday","time_text":"8am"}</x:v>
      </x:c>
      <x:c r="R69" s="8" t="n">
        <x:v>1</x:v>
      </x:c>
      <x:c r="S69" s="8" t="n">
        <x:v>1</x:v>
      </x:c>
      <x:c r="T69" s="8" t="n">
        <x:v>1</x:v>
      </x:c>
      <x:c r="U69" s="8" t="n">
        <x:v>0</x:v>
      </x:c>
      <x:c r="V69" s="7" t="str">
        <x:v>negation</x:v>
      </x:c>
    </x:row>
    <x:row r="70" ht="88" customHeight="1">
      <x:c r="A70" s="7" t="str">
        <x:v>mh4-memo-zh-10</x:v>
      </x:c>
      <x:c r="B70" s="7" t="str">
        <x:v>memo</x:v>
      </x:c>
      <x:c r="C70" s="7" t="str">
        <x:v>帮我记个任务：两天后把门垫洗了。</x:v>
      </x:c>
      <x:c r="D70" s="7" t="str">
        <x:v>draft</x:v>
      </x:c>
      <x:c r="E70" s="7" t="str">
        <x:v>memo</x:v>
      </x:c>
      <x:c r="F70" s="7" t="str">
        <x:v>draft</x:v>
      </x:c>
      <x:c r="G70" s="7" t="str">
        <x:v>memo</x:v>
      </x:c>
      <x:c r="H70" s="8" t="n">
        <x:v>1</x:v>
      </x:c>
      <x:c r="I70" s="8" t="n">
        <x:v>1</x:v>
      </x:c>
      <x:c r="J70" s="8" t="n">
        <x:v>1</x:v>
      </x:c>
      <x:c r="K70" s="8" t="n">
        <x:v>0</x:v>
      </x:c>
      <x:c r="L70" s="8" t="n">
        <x:v>1</x:v>
      </x:c>
      <x:c r="M70" s="8" t="n">
        <x:v>0</x:v>
      </x:c>
      <x:c r="N70" s="7" t="str">
        <x:v>date</x:v>
      </x:c>
      <x:c r="O70" s="7" t="str">
        <x:v>{"status":"draft","module":"memo","title":{"containsAny":["门垫"]},"date":"2026-10-08","priority":null}</x:v>
      </x:c>
      <x:c r="P70" s="7" t="str">
        <x:v>{"status":"draft","reason":null,"draft":{"id":"b5757635-9abe-4c6e-9dcf-0f77ab0ccf4e","title":"洗门垫","notes":"","dueDate":null,"timezone":"Asia/Shanghai","priority":null,"dateText":"两天后","warnings":["date_needs_review","priority_missing"]},"module":"memo","fields":null}</x:v>
      </x:c>
      <x:c r="Q70" s="7" t="str">
        <x:v>{"intent":"single_task","module":"memo","title":"洗门垫","notes":"","date_text":"两天后","time_text":"null"}</x:v>
      </x:c>
      <x:c r="R70" s="8" t="n">
        <x:v>1</x:v>
      </x:c>
      <x:c r="S70" s="8" t="n">
        <x:v>1</x:v>
      </x:c>
      <x:c r="T70" s="8" t="n">
        <x:v>1</x:v>
      </x:c>
      <x:c r="U70" s="8" t="n">
        <x:v>0</x:v>
      </x:c>
      <x:c r="V70" s="7" t="str">
        <x:v>relative_date</x:v>
      </x:c>
    </x:row>
    <x:row r="71" ht="88" customHeight="1">
      <x:c r="A71" s="7" t="str">
        <x:v>mh4-schedule-zh-05</x:v>
      </x:c>
      <x:c r="B71" s="7" t="str">
        <x:v>schedule</x:v>
      </x:c>
      <x:c r="C71" s="7" t="str">
        <x:v>两天后上午10点要做年度体检。</x:v>
      </x:c>
      <x:c r="D71" s="7" t="str">
        <x:v>draft</x:v>
      </x:c>
      <x:c r="E71" s="7" t="str">
        <x:v>schedule</x:v>
      </x:c>
      <x:c r="F71" s="7" t="str">
        <x:v>draft</x:v>
      </x:c>
      <x:c r="G71" s="7" t="str">
        <x:v>schedule</x:v>
      </x:c>
      <x:c r="H71" s="8" t="n">
        <x:v>1</x:v>
      </x:c>
      <x:c r="I71" s="8" t="n">
        <x:v>1</x:v>
      </x:c>
      <x:c r="J71" s="8" t="n">
        <x:v>2</x:v>
      </x:c>
      <x:c r="K71" s="8" t="n">
        <x:v>0</x:v>
      </x:c>
      <x:c r="L71" s="8" t="n">
        <x:v>1</x:v>
      </x:c>
      <x:c r="M71" s="8" t="n">
        <x:v>0</x:v>
      </x:c>
      <x:c r="N71" s="7" t="str">
        <x:v>date</x:v>
      </x:c>
      <x:c r="O71" s="7" t="str">
        <x:v>{"status":"draft","module":"schedule","title":{"containsAny":["年度","体检"]},"date":"2026-10-08","time":"10:00"}</x:v>
      </x:c>
      <x:c r="P71" s="7" t="str">
        <x:v>{"status":"draft","reason":null,"module":"schedule","draft":null,"fields":{"id":"7c3e45e2-21ac-4c5a-bad3-960569068f79","title":"年度体检","notes":"2 days later, 10:00 AM","date":null,"time":"10:00","amount":null,"kind":null,"category":null,"account":null,"timezone":"Asia/Shanghai"}}</x:v>
      </x:c>
      <x:c r="Q71" s="7" t="str">
        <x:v>{"intent":"single_task","module":"schedule","title":"年度体检","notes":"2 days later, 10:00 AM","date_text":"2 days later","time_text":"10:00 AM"}</x:v>
      </x:c>
      <x:c r="R71" s="8" t="n">
        <x:v>1</x:v>
      </x:c>
      <x:c r="S71" s="8" t="n">
        <x:v>1</x:v>
      </x:c>
      <x:c r="T71" s="8" t="n">
        <x:v>1</x:v>
      </x:c>
      <x:c r="U71" s="8" t="n">
        <x:v>0</x:v>
      </x:c>
      <x:c r="V71" s="7" t="str">
        <x:v>relative_date</x:v>
      </x:c>
    </x:row>
    <x:row r="72" ht="88" customHeight="1">
      <x:c r="A72" s="7" t="str">
        <x:v>mh4-memo-zh-25</x:v>
      </x:c>
      <x:c r="B72" s="7" t="str">
        <x:v>memo</x:v>
      </x:c>
      <x:c r="C72" s="7" t="str">
        <x:v>把叫“浇花”的旧任务改名为“修剪枝叶”。</x:v>
      </x:c>
      <x:c r="D72" s="7" t="str">
        <x:v>clarification</x:v>
      </x:c>
      <x:c r="E72" s="7" t="str"/>
      <x:c r="F72" s="7" t="str">
        <x:v>draft</x:v>
      </x:c>
      <x:c r="G72" s="7" t="str">
        <x:v>memo</x:v>
      </x:c>
      <x:c r="H72" s="8" t="n">
        <x:v>0</x:v>
      </x:c>
      <x:c r="I72" s="8" t="n">
        <x:v>0</x:v>
      </x:c>
      <x:c r="J72" s="8" t="n">
        <x:v>0</x:v>
      </x:c>
      <x:c r="K72" s="8" t="n">
        <x:v>0</x:v>
      </x:c>
      <x:c r="L72" s="8" t="n">
        <x:v>0</x:v>
      </x:c>
      <x:c r="M72" s="8" t="n">
        <x:v>0</x:v>
      </x:c>
      <x:c r="N72" s="7" t="str">
        <x:v>status, module</x:v>
      </x:c>
      <x:c r="O72" s="7" t="str">
        <x:v>{"status":"clarification","module":null}</x:v>
      </x:c>
      <x:c r="P72" s="7" t="str">
        <x:v>{"status":"draft","reason":null,"draft":{"id":"516d9c79-1261-485b-8227-54ad98575f37","title":"修剪枝叶","notes":"把叫“浇花”的旧任务改名为","dueDate":null,"timezone":"Asia/Shanghai","priority":null,"dateText":null,"warnings":["date_missing","priority_missing"]},"module":"memo","fields":null}</x:v>
      </x:c>
      <x:c r="Q72" s="7" t="str">
        <x:v>{"intent":"single_task","module":"memo","title":"修剪枝叶","notes":"把叫“浇花”的旧任务改名为"}</x:v>
      </x:c>
      <x:c r="R72" s="8" t="n">
        <x:v>1</x:v>
      </x:c>
      <x:c r="S72" s="8" t="n">
        <x:v>0</x:v>
      </x:c>
      <x:c r="T72" s="8" t="n">
        <x:v>0</x:v>
      </x:c>
      <x:c r="U72" s="8" t="n">
        <x:v>0</x:v>
      </x:c>
      <x:c r="V72" s="7" t="str">
        <x:v>mutation</x:v>
      </x:c>
    </x:row>
    <x:row r="73" ht="88" customHeight="1">
      <x:c r="A73" s="7" t="str">
        <x:v>mh4-memo-zh-16</x:v>
      </x:c>
      <x:c r="B73" s="7" t="str">
        <x:v>memo</x:v>
      </x:c>
      <x:c r="C73" s="7" t="str">
        <x:v>备忘：“下周日”是我们读书会的书名。只是书名，不是截止日期。</x:v>
      </x:c>
      <x:c r="D73" s="7" t="str">
        <x:v>draft</x:v>
      </x:c>
      <x:c r="E73" s="7" t="str">
        <x:v>memo</x:v>
      </x:c>
      <x:c r="F73" s="7" t="str">
        <x:v>draft</x:v>
      </x:c>
      <x:c r="G73" s="7" t="str">
        <x:v>memo</x:v>
      </x:c>
      <x:c r="H73" s="8" t="n">
        <x:v>1</x:v>
      </x:c>
      <x:c r="I73" s="8" t="n"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  <x:c r="N73" s="7" t="str">
        <x:v>date</x:v>
      </x:c>
      <x:c r="O73" s="7" t="str">
        <x:v>{"status":"draft","module":"memo","title":{"containsAny":["下周日","读书会"]},"date":null,"priority":null}</x:v>
      </x:c>
      <x:c r="P73" s="7" t="str">
        <x:v>{"status":"draft","reason":null,"draft":{"id":"d0334b4a-42c6-41d9-adf2-f9ade69e65d7","title":"读书会书名","notes":"下周日","dueDate":"2026-10-18","timezone":"Asia/Shanghai","priority":null,"dateText":"下周日","warnings":["priority_missing"]},"module":"memo","fields":null}</x:v>
      </x:c>
      <x:c r="Q73" s="7" t="str">
        <x:v>{"intent":"single_task","module":"memo","title":"读书会书名","notes":"下周日","date_text":"下周日"}</x:v>
      </x:c>
      <x:c r="R73" s="8" t="n">
        <x:v>1</x:v>
      </x:c>
      <x:c r="S73" s="8" t="n">
        <x:v>1</x:v>
      </x:c>
      <x:c r="T73" s="8" t="n">
        <x:v>1</x:v>
      </x:c>
      <x:c r="U73" s="8" t="n">
        <x:v>0</x:v>
      </x:c>
      <x:c r="V73" s="7" t="str">
        <x:v>quoted_date</x:v>
      </x:c>
    </x:row>
    <x:row r="74" ht="90" customHeight="1">
      <x:c r="A74" s="7" t="str">
        <x:v>mh4-finance-en-28</x:v>
      </x:c>
      <x:c r="B74" s="7" t="str">
        <x:v>finance</x:v>
      </x:c>
      <x:c r="C74" s="7" t="str">
        <x:v>Log breakfast at 12 yuan and then dinner at 30 yuan today, both with cash.</x:v>
      </x:c>
      <x:c r="D74" s="7" t="str">
        <x:v>clarification</x:v>
      </x:c>
      <x:c r="E74" s="7" t="str"/>
      <x:c r="F74" s="7" t="str">
        <x:v>draft</x:v>
      </x:c>
      <x:c r="G74" s="7" t="str">
        <x:v>finance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8" t="n">
        <x:v>0</x:v>
      </x:c>
      <x:c r="M74" s="8" t="n">
        <x:v>0</x:v>
      </x:c>
      <x:c r="N74" s="7" t="str">
        <x:v>status, module</x:v>
      </x:c>
      <x:c r="O74" s="7" t="str">
        <x:v>{"status":"clarification","module":null}</x:v>
      </x:c>
      <x:c r="P74" s="7" t="str">
        <x:v>{"status":"draft","reason":null,"module":"finance","draft":null,"fields":{"id":"aa7a6a4c-5a16-4f0b-b141-53a910e75729","title":"Breakfast and Dinner","notes":"12 yuan, 30 yuan","date":"2026-10-06","time":null,"amount":null,"kind":null,"category":"Food &amp; Drinks","account":"Cash","timezone":"America/Los_Angeles"}}</x:v>
      </x:c>
      <x:c r="Q74" s="7" t="str">
        <x:v>{"intent":"single_task","module":"finance","title":"Breakfast and Dinner","notes":"12 yuan, 30 yuan","date_text":"today","amount":"12, 30","kind":"expense","category":"Food &amp; Drinks","account":"Cash"}</x:v>
      </x:c>
      <x:c r="R74" s="8" t="n">
        <x:v>1</x:v>
      </x:c>
      <x:c r="S74" s="8" t="n">
        <x:v>0</x:v>
      </x:c>
      <x:c r="T74" s="8" t="n">
        <x:v>0</x:v>
      </x:c>
      <x:c r="U74" s="8" t="n">
        <x:v>0</x:v>
      </x:c>
      <x:c r="V74" s="7" t="str">
        <x:v>multiple_actions</x:v>
      </x:c>
    </x:row>
    <x:row r="75" ht="90" customHeight="1">
      <x:c r="A75" s="7" t="str">
        <x:v>mh4-memo-en-03</x:v>
      </x:c>
      <x:c r="B75" s="7" t="str">
        <x:v>memo</x:v>
      </x:c>
      <x:c r="C75" s="7" t="str">
        <x:v>A note for future me: the spare duvet lives in the attic trunk.</x:v>
      </x:c>
      <x:c r="D75" s="7" t="str">
        <x:v>draft</x:v>
      </x:c>
      <x:c r="E75" s="7" t="str">
        <x:v>memo</x:v>
      </x:c>
      <x:c r="F75" s="7" t="str">
        <x:v>draft</x:v>
      </x:c>
      <x:c r="G75" s="7" t="str">
        <x:v>memo</x:v>
      </x:c>
      <x:c r="H75" s="8" t="n">
        <x:v>1</x:v>
      </x:c>
      <x:c r="I75" s="8" t="n">
        <x:v>0</x:v>
      </x:c>
      <x:c r="J75" s="8" t="n">
        <x:v>1</x:v>
      </x:c>
      <x:c r="K75" s="8" t="n">
        <x:v>0</x:v>
      </x:c>
      <x:c r="L75" s="8" t="n">
        <x:v>1</x:v>
      </x:c>
      <x:c r="M75" s="8" t="n">
        <x:v>0</x:v>
      </x:c>
      <x:c r="N75" s="7" t="str">
        <x:v>title</x:v>
      </x:c>
      <x:c r="O75" s="7" t="str">
        <x:v>{"status":"draft","module":"memo","title":{"containsAny":["duvet","attic","trunk"]},"date":null,"priority":null}</x:v>
      </x:c>
      <x:c r="P75" s="7" t="str">
        <x:v>{"status":"draft","reason":null,"draft":{"id":"b160f79f-4979-4f0e-ab74-987abf62e220","title":"Note for future me","notes":"the spare duvet lives in the attic trunk","dueDate":null,"timezone":"America/Los_Angeles","priority":null,"dateText":null,"warnings":["date_missing","priority_missing"]},"module":"memo","fields":null}</x:v>
      </x:c>
      <x:c r="Q75" s="7" t="str">
        <x:v>{"intent":"single_task","module":"memo","title":"Note for future me","notes":"the spare duvet lives in the attic trunk","date_text":null,"time_text":null,"priority":null}</x:v>
      </x:c>
      <x:c r="R75" s="8" t="n">
        <x:v>1</x:v>
      </x:c>
      <x:c r="S75" s="8" t="n">
        <x:v>1</x:v>
      </x:c>
      <x:c r="T75" s="8" t="n">
        <x:v>1</x:v>
      </x:c>
      <x:c r="U75" s="8" t="n">
        <x:v>1</x:v>
      </x:c>
      <x:c r="V75" s="7" t="str">
        <x:v>factual_note</x:v>
      </x:c>
    </x:row>
    <x:row r="76" ht="88" customHeight="1">
      <x:c r="A76" s="7" t="str">
        <x:v>mh4-memo-en-25</x:v>
      </x:c>
      <x:c r="B76" s="7" t="str">
        <x:v>memo</x:v>
      </x:c>
      <x:c r="C76" s="7" t="str">
        <x:v>Rename my existing "vacuum" task to "mop the hallway".</x:v>
      </x:c>
      <x:c r="D76" s="7" t="str">
        <x:v>clarification</x:v>
      </x:c>
      <x:c r="E76" s="7" t="str"/>
      <x:c r="F76" s="7" t="str"/>
      <x:c r="G76" s="7" t="str"/>
      <x:c r="H76" s="8" t="n">
        <x:v>0</x:v>
      </x:c>
      <x:c r="I76" s="8" t="n">
        <x:v>0</x:v>
      </x:c>
      <x:c r="J76" s="8" t="n">
        <x:v>0</x:v>
      </x:c>
      <x:c r="K76" s="8" t="n">
        <x:v>0</x:v>
      </x:c>
      <x:c r="L76" s="8" t="n">
        <x:v>0</x:v>
      </x:c>
      <x:c r="M76" s="8" t="n">
        <x:v>0</x:v>
      </x:c>
      <x:c r="N76" s="7" t="str">
        <x:v>invalid_model_output</x:v>
      </x:c>
      <x:c r="O76" s="7" t="str">
        <x:v>{"status":"clarification","module":null}</x:v>
      </x:c>
      <x:c r="P76" s="7" t="str">
        <x:v>{}</x:v>
      </x:c>
      <x:c r="Q76" s="7" t="str">
        <x:v>{"intent":"single_task","module":"memo","title":"Rename existing 'vacuum' task","notes":"Rename 'vacuum' task to 'mop the hallway'","old_title":"vacuum","new_title":"mop the hallway"}</x:v>
      </x:c>
      <x:c r="R76" s="8" t="n">
        <x:v>1</x:v>
      </x:c>
      <x:c r="S76" s="8" t="n">
        <x:v>0</x:v>
      </x:c>
      <x:c r="T76" s="8" t="n">
        <x:v>0</x:v>
      </x:c>
      <x:c r="U76" s="8" t="n">
        <x:v>0</x:v>
      </x:c>
      <x:c r="V76" s="7" t="str">
        <x:v>mutation</x:v>
      </x:c>
    </x:row>
    <x:row r="77" ht="88" customHeight="1">
      <x:c r="A77" s="7" t="str">
        <x:v>mh4-memo-zh-22</x:v>
      </x:c>
      <x:c r="B77" s="7" t="str">
        <x:v>memo</x:v>
      </x:c>
      <x:c r="C77" s="7" t="str">
        <x:v>待办：换浴室灯泡，不急，哪天都行。</x:v>
      </x:c>
      <x:c r="D77" s="7" t="str">
        <x:v>draft</x:v>
      </x:c>
      <x:c r="E77" s="7" t="str">
        <x:v>memo</x:v>
      </x:c>
      <x:c r="F77" s="7" t="str">
        <x:v>draft</x:v>
      </x:c>
      <x:c r="G77" s="7" t="str">
        <x:v>memo</x:v>
      </x:c>
      <x:c r="H77" s="8" t="n">
        <x:v>1</x:v>
      </x:c>
      <x:c r="I77" s="8" t="n">
        <x:v>1</x:v>
      </x:c>
      <x:c r="J77" s="8" t="n">
        <x:v>1</x:v>
      </x:c>
      <x:c r="K77" s="8" t="n">
        <x:v>0</x:v>
      </x:c>
      <x:c r="L77" s="8" t="n">
        <x:v>1</x:v>
      </x:c>
      <x:c r="M77" s="8" t="n">
        <x:v>0</x:v>
      </x:c>
      <x:c r="N77" s="7" t="str">
        <x:v>priority</x:v>
      </x:c>
      <x:c r="O77" s="7" t="str">
        <x:v>{"status":"draft","module":"memo","title":{"containsAny":["灯泡"]},"date":null,"priority":"normal"}</x:v>
      </x:c>
      <x:c r="P77" s="7" t="str">
        <x:v>{"status":"draft","reason":null,"draft":{"id":"59f09ae8-77c6-4ef0-bd45-c290dc4810fb","title":"换浴室灯泡","notes":"不急，哪天都行","dueDate":null,"timezone":"Asia/Shanghai","priority":null,"dateText":null,"warnings":["date_missing","priority_missing"]},"module":"memo","fields":null}</x:v>
      </x:c>
      <x:c r="Q77" s="7" t="str">
        <x:v>{"intent":"single_task","module":"memo","title":"换浴室灯泡","notes":"不急，哪天都行"}</x:v>
      </x:c>
      <x:c r="R77" s="8" t="n">
        <x:v>1</x:v>
      </x:c>
      <x:c r="S77" s="8" t="n">
        <x:v>1</x:v>
      </x:c>
      <x:c r="T77" s="8" t="n">
        <x:v>1</x:v>
      </x:c>
      <x:c r="U77" s="8" t="n">
        <x:v>1</x:v>
      </x:c>
      <x:c r="V77" s="7" t="str">
        <x:v>negated_urgency</x:v>
      </x:c>
    </x:row>
    <x:row r="78" ht="88" customHeight="1">
      <x:c r="A78" s="7" t="str">
        <x:v>mh4-memo-zh-02</x:v>
      </x:c>
      <x:c r="B78" s="7" t="str">
        <x:v>memo</x:v>
      </x:c>
      <x:c r="C78" s="7" t="str">
        <x:v>麻烦放进清单，明天检查一下灭火器到期没有，优先度高。</x:v>
      </x:c>
      <x:c r="D78" s="7" t="str">
        <x:v>draft</x:v>
      </x:c>
      <x:c r="E78" s="7" t="str">
        <x:v>memo</x:v>
      </x:c>
      <x:c r="F78" s="7" t="str">
        <x:v>draft</x:v>
      </x:c>
      <x:c r="G78" s="7" t="str">
        <x:v>memo</x:v>
      </x:c>
      <x:c r="H78" s="8" t="n">
        <x:v>1</x:v>
      </x:c>
      <x:c r="I78" s="8" t="n">
        <x:v>1</x:v>
      </x:c>
      <x:c r="J78" s="8" t="n">
        <x:v>1</x:v>
      </x:c>
      <x:c r="K78" s="8" t="n">
        <x:v>0</x:v>
      </x:c>
      <x:c r="L78" s="8" t="n">
        <x:v>1</x:v>
      </x:c>
      <x:c r="M78" s="8" t="n">
        <x:v>0</x:v>
      </x:c>
      <x:c r="N78" s="7" t="str">
        <x:v>priority</x:v>
      </x:c>
      <x:c r="O78" s="7" t="str">
        <x:v>{"status":"draft","module":"memo","title":{"containsAny":["灭火器"]},"date":"2026-10-07","priority":"important"}</x:v>
      </x:c>
      <x:c r="P78" s="7" t="str">
        <x:v>{"status":"draft","reason":null,"draft":{"id":"e7899f69-5584-4210-9c97-ae9f940a1f4f","title":"检查灭火器到期","notes":"明天","dueDate":"2026-10-07","timezone":"Asia/Shanghai","priority":null,"dateText":"明天","warnings":["priority_missing"]},"module":"memo","fields":null}</x:v>
      </x:c>
      <x:c r="Q78" s="7" t="str">
        <x:v>{"intent":"single_task","module":"memo","title":"检查灭火器到期","notes":"明天","date_text":"明天","time_text":"无","priority":"high"}</x:v>
      </x:c>
      <x:c r="R78" s="8" t="n">
        <x:v>1</x:v>
      </x:c>
      <x:c r="S78" s="8" t="n">
        <x:v>1</x:v>
      </x:c>
      <x:c r="T78" s="8" t="n">
        <x:v>1</x:v>
      </x:c>
      <x:c r="U78" s="8" t="n">
        <x:v>1</x:v>
      </x:c>
      <x:c r="V78" s="7" t="str">
        <x:v>complete</x:v>
      </x:c>
    </x:row>
    <x:row r="79" ht="88" customHeight="1">
      <x:c r="A79" s="7" t="str">
        <x:v>mh4-memo-en-26</x:v>
      </x:c>
      <x:c r="B79" s="7" t="str">
        <x:v>memo</x:v>
      </x:c>
      <x:c r="C79" s="7" t="str">
        <x:v>Clear out the completed items currently in my checklist.</x:v>
      </x:c>
      <x:c r="D79" s="7" t="str">
        <x:v>clarification</x:v>
      </x:c>
      <x:c r="E79" s="7" t="str"/>
      <x:c r="F79" s="7" t="str">
        <x:v>draft</x:v>
      </x:c>
      <x:c r="G79" s="7" t="str">
        <x:v>memo</x:v>
      </x:c>
      <x:c r="H79" s="8" t="n">
        <x:v>0</x:v>
      </x:c>
      <x:c r="I79" s="8" t="n">
        <x:v>0</x:v>
      </x:c>
      <x:c r="J79" s="8" t="n">
        <x:v>0</x:v>
      </x:c>
      <x:c r="K79" s="8" t="n">
        <x:v>0</x:v>
      </x:c>
      <x:c r="L79" s="8" t="n">
        <x:v>0</x:v>
      </x:c>
      <x:c r="M79" s="8" t="n">
        <x:v>0</x:v>
      </x:c>
      <x:c r="N79" s="7" t="str">
        <x:v>status, module</x:v>
      </x:c>
      <x:c r="O79" s="7" t="str">
        <x:v>{"status":"clarification","module":null}</x:v>
      </x:c>
      <x:c r="P79" s="7" t="str">
        <x:v>{"status":"draft","reason":null,"draft":{"id":"136a47a1-850b-4633-ac10-10e9386679a4","title":"Clear out completed items","notes":"","dueDate":null,"timezone":"America/Los_Angeles","priority":null,"dateText":null,"warnings":["date_missing","priority_missing"]},"module":"memo","fields":null}</x:v>
      </x:c>
      <x:c r="Q79" s="7" t="str">
        <x:v>{"intent":"single_task","module":"memo","title":"Clear out completed items","notes":"","date_text":"null","time_text":"null"}</x:v>
      </x:c>
      <x:c r="R79" s="8" t="n">
        <x:v>1</x:v>
      </x:c>
      <x:c r="S79" s="8" t="n">
        <x:v>0</x:v>
      </x:c>
      <x:c r="T79" s="8" t="n">
        <x:v>0</x:v>
      </x:c>
      <x:c r="U79" s="8" t="n">
        <x:v>0</x:v>
      </x:c>
      <x:c r="V79" s="7" t="str">
        <x:v>mutation</x:v>
      </x:c>
    </x:row>
    <x:row r="80" ht="88" customHeight="1">
      <x:c r="A80" s="7" t="str">
        <x:v>mh4-finance-en-20</x:v>
      </x:c>
      <x:c r="B80" s="7" t="str">
        <x:v>finance</x:v>
      </x:c>
      <x:c r="C80" s="7" t="str">
        <x:v>I paid 24 yuan cash for noodles, yesterday or the day before, the date is hazy.</x:v>
      </x:c>
      <x:c r="D80" s="7" t="str">
        <x:v>draft</x:v>
      </x:c>
      <x:c r="E80" s="7" t="str">
        <x:v>finance</x:v>
      </x:c>
      <x:c r="F80" s="7" t="str">
        <x:v>draft</x:v>
      </x:c>
      <x:c r="G80" s="7" t="str">
        <x:v>finance</x:v>
      </x:c>
      <x:c r="H80" s="8" t="n">
        <x:v>1</x:v>
      </x:c>
      <x:c r="I80" s="8" t="n">
        <x:v>5</x:v>
      </x:c>
      <x:c r="J80" s="8" t="n">
        <x:v>6</x:v>
      </x:c>
      <x:c r="K80" s="8" t="n">
        <x:v>0</x:v>
      </x:c>
      <x:c r="L80" s="8" t="n">
        <x:v>1</x:v>
      </x:c>
      <x:c r="M80" s="8" t="n">
        <x:v>0</x:v>
      </x:c>
      <x:c r="N80" s="7" t="str">
        <x:v>date</x:v>
      </x:c>
      <x:c r="O80" s="7" t="str">
        <x:v>{"status":"draft","module":"finance","title":{"containsAny":["noodle"]},"amount":"24","kind":"expense","category":"Food &amp; Drinks","account":"Cash","date":null}</x:v>
      </x:c>
      <x:c r="P80" s="7" t="str">
        <x:v>{"status":"draft","reason":null,"module":"finance","draft":null,"fields":{"id":"bb03ae35-490f-4f5e-9611-8a5043a128fd","title":"Noodles","notes":"","date":"2026-10-05","time":null,"amount":"24","kind":"expense","category":"Food &amp; Drinks","account":"Cash","timezone":"America/Los_Angeles"}}</x:v>
      </x:c>
      <x:c r="Q80" s="7" t="str">
        <x:v>{"intent":"single_task","module":"finance","title":"Noodles","notes":"","date_text":"yesterday","amount":"24","kind":"expense","category":"Food &amp; Drinks","account":"Cash"}</x:v>
      </x:c>
      <x:c r="R80" s="8" t="n">
        <x:v>1</x:v>
      </x:c>
      <x:c r="S80" s="8" t="n">
        <x:v>1</x:v>
      </x:c>
      <x:c r="T80" s="8" t="n">
        <x:v>1</x:v>
      </x:c>
      <x:c r="U80" s="8" t="n">
        <x:v>0</x:v>
      </x:c>
      <x:c r="V80" s="7" t="str">
        <x:v>uncertain_date</x:v>
      </x:c>
    </x:row>
    <x:row r="81" ht="88" customHeight="1">
      <x:c r="A81" s="7" t="str">
        <x:v>mh4-schedule-zh-28</x:v>
      </x:c>
      <x:c r="B81" s="7" t="str">
        <x:v>schedule</x:v>
      </x:c>
      <x:c r="C81" s="7" t="str">
        <x:v>加明天上午的面试，再加后天下午的复试。</x:v>
      </x:c>
      <x:c r="D81" s="7" t="str">
        <x:v>clarification</x:v>
      </x:c>
      <x:c r="E81" s="7" t="str"/>
      <x:c r="F81" s="7" t="str">
        <x:v>draft</x:v>
      </x:c>
      <x:c r="G81" s="7" t="str">
        <x:v>schedule</x:v>
      </x:c>
      <x:c r="H81" s="8" t="n">
        <x:v>0</x:v>
      </x:c>
      <x:c r="I81" s="8" t="n">
        <x:v>0</x:v>
      </x:c>
      <x:c r="J81" s="8" t="n">
        <x:v>0</x:v>
      </x:c>
      <x:c r="K81" s="8" t="n">
        <x:v>0</x:v>
      </x:c>
      <x:c r="L81" s="8" t="n">
        <x:v>0</x:v>
      </x:c>
      <x:c r="M81" s="8" t="n">
        <x:v>0</x:v>
      </x:c>
      <x:c r="N81" s="7" t="str">
        <x:v>status, module</x:v>
      </x:c>
      <x:c r="O81" s="7" t="str">
        <x:v>{"status":"clarification","module":null}</x:v>
      </x:c>
      <x:c r="P81" s="7" t="str">
        <x:v>{"status":"draft","reason":null,"module":"schedule","draft":null,"fields":{"id":"d65bf162-0372-4de1-be9d-a8337e51ca60","title":"面试","notes":"","date":null,"time":null,"amount":null,"kind":null,"category":null,"account":null,"timezone":"Asia/Shanghai"}}</x:v>
      </x:c>
      <x:c r="Q81" s="7" t="str">
        <x:v>{"intent":"single_task","module":"schedule","title":"面试","notes":"","date_text":"明天上午","time_text":"12:00","priority":"normal"}</x:v>
      </x:c>
      <x:c r="R81" s="8" t="n">
        <x:v>1</x:v>
      </x:c>
      <x:c r="S81" s="8" t="n">
        <x:v>0</x:v>
      </x:c>
      <x:c r="T81" s="8" t="n">
        <x:v>0</x:v>
      </x:c>
      <x:c r="U81" s="8" t="n">
        <x:v>0</x:v>
      </x:c>
      <x:c r="V81" s="7" t="str">
        <x:v>multiple_actions</x:v>
      </x:c>
    </x:row>
    <x:row r="82" ht="88" customHeight="1">
      <x:c r="A82" s="7" t="str">
        <x:v>mh4-health-zh-10</x:v>
      </x:c>
      <x:c r="B82" s="7" t="str">
        <x:v>health</x:v>
      </x:c>
      <x:c r="C82" s="7" t="str">
        <x:v>我想确认今天是不是刷短视频太久了，显示各app用时就好。</x:v>
      </x:c>
      <x:c r="D82" s="7" t="str">
        <x:v>draft</x:v>
      </x:c>
      <x:c r="E82" s="7" t="str">
        <x:v>health</x:v>
      </x:c>
      <x:c r="F82" s="7" t="str">
        <x:v>clarification</x:v>
      </x:c>
      <x:c r="G82" s="7" t="str"/>
      <x:c r="H82" s="8" t="n">
        <x:v>0</x:v>
      </x:c>
      <x:c r="I82" s="8" t="n">
        <x:v>0</x:v>
      </x:c>
      <x:c r="J82" s="8" t="n">
        <x:v>0</x:v>
      </x:c>
      <x:c r="K82" s="8" t="n">
        <x:v>0</x:v>
      </x:c>
      <x:c r="L82" s="8" t="n">
        <x:v>1</x:v>
      </x:c>
      <x:c r="M82" s="8" t="n">
        <x:v>0</x:v>
      </x:c>
      <x:c r="N82" s="7" t="str">
        <x:v>status, module</x:v>
      </x:c>
      <x:c r="O82" s="7" t="str">
        <x:v>{"status":"draft","module":"health"}</x:v>
      </x:c>
      <x:c r="P82" s="7" t="str">
        <x:v>{"status":"clarification","reason":"health_unsupported","module":null,"draft":null,"fields":null}</x:v>
      </x:c>
      <x:c r="Q82" s="7" t="str">
        <x:v>{"intent":"single_task","module":"health","title":"查看手机使用时长","notes":""}</x:v>
      </x:c>
      <x:c r="R82" s="8" t="n">
        <x:v>1</x:v>
      </x:c>
      <x:c r="S82" s="8" t="n">
        <x:v>1</x:v>
      </x:c>
      <x:c r="T82" s="8" t="n">
        <x:v>0</x:v>
      </x:c>
      <x:c r="U82" s="8" t="n">
        <x:v>0</x:v>
      </x:c>
      <x:c r="V82" s="7" t="str">
        <x:v>app_breakdown</x:v>
      </x:c>
    </x:row>
    <x:row r="83" ht="88" customHeight="1">
      <x:c r="A83" s="7" t="str">
        <x:v>mh4-memo-zh-28</x:v>
      </x:c>
      <x:c r="B83" s="7" t="str">
        <x:v>memo</x:v>
      </x:c>
      <x:c r="C83" s="7" t="str">
        <x:v>记得还足球，再安排星期六下午的球赛日程。</x:v>
      </x:c>
      <x:c r="D83" s="7" t="str">
        <x:v>clarification</x:v>
      </x:c>
      <x:c r="E83" s="7" t="str"/>
      <x:c r="F83" s="7" t="str">
        <x:v>draft</x:v>
      </x:c>
      <x:c r="G83" s="7" t="str">
        <x:v>schedule</x:v>
      </x:c>
      <x:c r="H83" s="8" t="n">
        <x:v>0</x:v>
      </x:c>
      <x:c r="I83" s="8" t="n">
        <x:v>0</x:v>
      </x:c>
      <x:c r="J83" s="8" t="n">
        <x:v>0</x:v>
      </x:c>
      <x:c r="K83" s="8" t="n">
        <x:v>0</x:v>
      </x:c>
      <x:c r="L83" s="8" t="n">
        <x:v>0</x:v>
      </x:c>
      <x:c r="M83" s="8" t="n">
        <x:v>0</x:v>
      </x:c>
      <x:c r="N83" s="7" t="str">
        <x:v>status, module</x:v>
      </x:c>
      <x:c r="O83" s="7" t="str">
        <x:v>{"status":"clarification","module":null}</x:v>
      </x:c>
      <x:c r="P83" s="7" t="str">
        <x:v>{"status":"draft","reason":null,"module":"schedule","draft":null,"fields":{"id":"7c345ed9-edee-4b33-9500-4cce3ac82c9e","title":"安排球赛","notes":"记得还足球","date":null,"time":null,"amount":null,"kind":null,"category":null,"account":null,"timezone":"Asia/Shanghai"}}</x:v>
      </x:c>
      <x:c r="Q83" s="7" t="str">
        <x:v>{"intent":"single_task","module":"schedule","title":"安排球赛","notes":"记得还足球","date_text":"星期六","time_text":"下午"}</x:v>
      </x:c>
      <x:c r="R83" s="8" t="n">
        <x:v>1</x:v>
      </x:c>
      <x:c r="S83" s="8" t="n">
        <x:v>0</x:v>
      </x:c>
      <x:c r="T83" s="8" t="n">
        <x:v>0</x:v>
      </x:c>
      <x:c r="U83" s="8" t="n">
        <x:v>0</x:v>
      </x:c>
      <x:c r="V83" s="7" t="str">
        <x:v>multiple_actions</x:v>
      </x:c>
    </x:row>
    <x:row r="84" ht="88" customHeight="1">
      <x:c r="A84" s="7" t="str">
        <x:v>mh4-memo-zh-09</x:v>
      </x:c>
      <x:c r="B84" s="7" t="str">
        <x:v>memo</x:v>
      </x:c>
      <x:c r="C84" s="7" t="str">
        <x:v>今晚之前把reading notes上传，high priority，放备忘。</x:v>
      </x:c>
      <x:c r="D84" s="7" t="str">
        <x:v>draft</x:v>
      </x:c>
      <x:c r="E84" s="7" t="str">
        <x:v>memo</x:v>
      </x:c>
      <x:c r="F84" s="7" t="str">
        <x:v>draft</x:v>
      </x:c>
      <x:c r="G84" s="7" t="str">
        <x:v>memo</x:v>
      </x:c>
      <x:c r="H84" s="8" t="n">
        <x:v>1</x:v>
      </x:c>
      <x:c r="I84" s="8" t="n">
        <x:v>1</x:v>
      </x:c>
      <x:c r="J84" s="8" t="n">
        <x:v>1</x:v>
      </x:c>
      <x:c r="K84" s="8" t="n">
        <x:v>0</x:v>
      </x:c>
      <x:c r="L84" s="8" t="n">
        <x:v>1</x:v>
      </x:c>
      <x:c r="M84" s="8" t="n">
        <x:v>0</x:v>
      </x:c>
      <x:c r="N84" s="7" t="str">
        <x:v>date</x:v>
      </x:c>
      <x:c r="O84" s="7" t="str">
        <x:v>{"status":"draft","module":"memo","title":{"containsAny":["reading","笔记","notes"]},"date":"2026-10-06","priority":"important"}</x:v>
      </x:c>
      <x:c r="P84" s="7" t="str">
        <x:v>{"status":"draft","reason":null,"draft":{"id":"9e9e799d-7888-423b-a6ff-17214c7c7ab6","title":"reading notes","notes":"upload","dueDate":null,"timezone":"Asia/Shanghai","priority":"important","dateText":"今晚之前","warnings":["date_needs_review"]},"module":"memo","fields":null}</x:v>
      </x:c>
      <x:c r="Q84" s="7" t="str">
        <x:v>{"intent":"single_task","module":"memo","title":"reading notes","notes":"upload","date_text":"今晚之前","time_text":"high priority","priority":"important"}</x:v>
      </x:c>
      <x:c r="R84" s="8" t="n">
        <x:v>1</x:v>
      </x:c>
      <x:c r="S84" s="8" t="n">
        <x:v>1</x:v>
      </x:c>
      <x:c r="T84" s="8" t="n">
        <x:v>1</x:v>
      </x:c>
      <x:c r="U84" s="8" t="n">
        <x:v>0</x:v>
      </x:c>
      <x:c r="V84" s="7" t="str">
        <x:v>mixed_language</x:v>
      </x:c>
    </x:row>
    <x:row r="85" ht="88" customHeight="1">
      <x:c r="A85" s="7" t="str">
        <x:v>mh4-health-en-11</x:v>
      </x:c>
      <x:c r="B85" s="7" t="str">
        <x:v>health</x:v>
      </x:c>
      <x:c r="C85" s="7" t="str">
        <x:v>Go into Health; I will read the figures there myself.</x:v>
      </x:c>
      <x:c r="D85" s="7" t="str">
        <x:v>draft</x:v>
      </x:c>
      <x:c r="E85" s="7" t="str">
        <x:v>health</x:v>
      </x:c>
      <x:c r="F85" s="7" t="str">
        <x:v>draft</x:v>
      </x:c>
      <x:c r="G85" s="7" t="str">
        <x:v>memo</x:v>
      </x:c>
      <x:c r="H85" s="8" t="n">
        <x:v>0</x:v>
      </x:c>
      <x:c r="I85" s="8" t="n">
        <x:v>0</x:v>
      </x:c>
      <x:c r="J85" s="8" t="n">
        <x:v>0</x:v>
      </x:c>
      <x:c r="K85" s="8" t="n">
        <x:v>0</x:v>
      </x:c>
      <x:c r="L85" s="8" t="n">
        <x:v>1</x:v>
      </x:c>
      <x:c r="M85" s="8" t="n">
        <x:v>0</x:v>
      </x:c>
      <x:c r="N85" s="7" t="str">
        <x:v>module</x:v>
      </x:c>
      <x:c r="O85" s="7" t="str">
        <x:v>{"status":"draft","module":"health"}</x:v>
      </x:c>
      <x:c r="P85" s="7" t="str">
        <x:v>{"status":"draft","reason":null,"draft":{"id":"965f7fa6-9b97-41e9-bafa-682924ae06f1","title":"Go into Health","notes":"","dueDate":null,"timezone":"America/Los_Angeles","priority":null,"dateText":null,"warnings":["date_missing","priority_missing"]},"module":"memo","fields":null}</x:v>
      </x:c>
      <x:c r="Q85" s="7" t="str">
        <x:v>{"intent":"single_task","module":"health","title":"Read figures","notes":""}</x:v>
      </x:c>
      <x:c r="R85" s="8" t="n">
        <x:v>1</x:v>
      </x:c>
      <x:c r="S85" s="8" t="n">
        <x:v>1</x:v>
      </x:c>
      <x:c r="T85" s="8" t="n">
        <x:v>0</x:v>
      </x:c>
      <x:c r="U85" s="8" t="n">
        <x:v>0</x:v>
      </x:c>
      <x:c r="V85" s="7" t="str">
        <x:v>open_page</x:v>
      </x:c>
    </x:row>
    <x:row r="86" ht="88" customHeight="1">
      <x:c r="A86" s="7" t="str">
        <x:v>mh4-schedule-en-11</x:v>
      </x:c>
      <x:c r="B86" s="7" t="str">
        <x:v>schedule</x:v>
      </x:c>
      <x:c r="C86" s="7" t="str">
        <x:v>Friday dinner gathering, either 6pm or 7pm, still checking the time. Add an event.</x:v>
      </x:c>
      <x:c r="D86" s="7" t="str">
        <x:v>draft</x:v>
      </x:c>
      <x:c r="E86" s="7" t="str">
        <x:v>schedule</x:v>
      </x:c>
      <x:c r="F86" s="7" t="str">
        <x:v>draft</x:v>
      </x:c>
      <x:c r="G86" s="7" t="str">
        <x:v>schedule</x:v>
      </x:c>
      <x:c r="H86" s="8" t="n">
        <x:v>1</x:v>
      </x:c>
      <x:c r="I86" s="8" t="n">
        <x:v>1</x:v>
      </x:c>
      <x:c r="J86" s="8" t="n">
        <x:v>2</x:v>
      </x:c>
      <x:c r="K86" s="8" t="n">
        <x:v>0</x:v>
      </x:c>
      <x:c r="L86" s="8" t="n">
        <x:v>1</x:v>
      </x:c>
      <x:c r="M86" s="8" t="n">
        <x:v>0</x:v>
      </x:c>
      <x:c r="N86" s="7" t="str">
        <x:v>date</x:v>
      </x:c>
      <x:c r="O86" s="7" t="str">
        <x:v>{"status":"draft","module":"schedule","title":{"containsAny":["dinner"]},"date":"2026-10-09","time":null}</x:v>
      </x:c>
      <x:c r="P86" s="7" t="str">
        <x:v>{"status":"draft","reason":null,"module":"schedule","draft":null,"fields":{"id":"92deff66-fea9-4801-8cd4-7c6f9eaf3f83","title":"Friday dinner gathering","notes":"6pm or 7pm","date":null,"time":null,"amount":null,"kind":null,"category":null,"account":null,"timezone":"America/Los_Angeles"}}</x:v>
      </x:c>
      <x:c r="Q86" s="7" t="str">
        <x:v>{"intent":"single_task","module":"schedule","title":"Friday dinner gathering","notes":"6pm or 7pm","date_text":"Friday","time_text":"6pm or 7pm"}</x:v>
      </x:c>
      <x:c r="R86" s="8" t="n">
        <x:v>1</x:v>
      </x:c>
      <x:c r="S86" s="8" t="n">
        <x:v>1</x:v>
      </x:c>
      <x:c r="T86" s="8" t="n">
        <x:v>1</x:v>
      </x:c>
      <x:c r="U86" s="8" t="n">
        <x:v>0</x:v>
      </x:c>
      <x:c r="V86" s="7" t="str">
        <x:v>uncertain_time</x:v>
      </x:c>
    </x:row>
    <x:row r="87" ht="88" customHeight="1">
      <x:c r="A87" s="7" t="str">
        <x:v>mh4-schedule-zh-24</x:v>
      </x:c>
      <x:c r="B87" s="7" t="str">
        <x:v>schedule</x:v>
      </x:c>
      <x:c r="C87" s="7" t="str">
        <x:v>明天和“下周二”乐队排练，下午5点，只把明天作为日期。</x:v>
      </x:c>
      <x:c r="D87" s="7" t="str">
        <x:v>draft</x:v>
      </x:c>
      <x:c r="E87" s="7" t="str">
        <x:v>schedule</x:v>
      </x:c>
      <x:c r="F87" s="7" t="str">
        <x:v>draft</x:v>
      </x:c>
      <x:c r="G87" s="7" t="str">
        <x:v>schedule</x:v>
      </x:c>
      <x:c r="H87" s="8" t="n">
        <x:v>1</x:v>
      </x:c>
      <x:c r="I87" s="8" t="n">
        <x:v>1</x:v>
      </x:c>
      <x:c r="J87" s="8" t="n">
        <x:v>2</x:v>
      </x:c>
      <x:c r="K87" s="8" t="n">
        <x:v>0</x:v>
      </x:c>
      <x:c r="L87" s="8" t="n">
        <x:v>1</x:v>
      </x:c>
      <x:c r="M87" s="8" t="n">
        <x:v>0</x:v>
      </x:c>
      <x:c r="N87" s="7" t="str">
        <x:v>date</x:v>
      </x:c>
      <x:c r="O87" s="7" t="str">
        <x:v>{"status":"draft","module":"schedule","title":{"containsAny":["乐队","排练"]},"date":"2026-10-07","time":"17:00"}</x:v>
      </x:c>
      <x:c r="P87" s="7" t="str">
        <x:v>{"status":"draft","reason":null,"module":"schedule","draft":null,"fields":{"id":"4b68cac3-b998-44d4-96da-aa12ee3a33b2","title":"乐队排练","notes":"下午5点","date":null,"time":"17:00","amount":null,"kind":null,"category":null,"account":null,"timezone":"Asia/Shanghai"}}</x:v>
      </x:c>
      <x:c r="Q87" s="7" t="str">
        <x:v>{"intent":"single_task","module":"schedule","title":"乐队排练","notes":"下午5点","date_text":"明天"}</x:v>
      </x:c>
      <x:c r="R87" s="8" t="n">
        <x:v>1</x:v>
      </x:c>
      <x:c r="S87" s="8" t="n">
        <x:v>1</x:v>
      </x:c>
      <x:c r="T87" s="8" t="n">
        <x:v>1</x:v>
      </x:c>
      <x:c r="U87" s="8" t="n">
        <x:v>0</x:v>
      </x:c>
      <x:c r="V87" s="7" t="str">
        <x:v>quoted_date</x:v>
      </x:c>
    </x:row>
    <x:row r="88" ht="88" customHeight="1">
      <x:c r="A88" s="7" t="str">
        <x:v>mh4-health-zh-21</x:v>
      </x:c>
      <x:c r="B88" s="7" t="str">
        <x:v>health</x:v>
      </x:c>
      <x:c r="C88" s="7" t="str">
        <x:v>今天体温37.1，帮我记录到Health。</x:v>
      </x:c>
      <x:c r="D88" s="7" t="str">
        <x:v>clarification</x:v>
      </x:c>
      <x:c r="E88" s="7" t="str"/>
      <x:c r="F88" s="7" t="str"/>
      <x:c r="G88" s="7" t="str"/>
      <x:c r="H88" s="8" t="n">
        <x:v>0</x:v>
      </x:c>
      <x:c r="I88" s="8" t="n">
        <x:v>0</x:v>
      </x:c>
      <x:c r="J88" s="8" t="n">
        <x:v>0</x:v>
      </x:c>
      <x:c r="K88" s="8" t="n">
        <x:v>0</x:v>
      </x:c>
      <x:c r="L88" s="8" t="n">
        <x:v>0</x:v>
      </x:c>
      <x:c r="M88" s="8" t="n">
        <x:v>0</x:v>
      </x:c>
      <x:c r="N88" s="7" t="str">
        <x:v>invalid_model_output</x:v>
      </x:c>
      <x:c r="O88" s="7" t="str">
        <x:v>{"status":"clarification","module":null}</x:v>
      </x:c>
      <x:c r="P88" s="7" t="str">
        <x:v>{}</x:v>
      </x:c>
      <x:c r="Q88" s="7" t="str">
        <x:v>{"intent":"single_task","module":"health","title":"体温记录","notes":"","date_text":"今天","time_text":"无","temperature":"37.1","kind":"Others","category":"Health","account":"无"}</x:v>
      </x:c>
      <x:c r="R88" s="8" t="n">
        <x:v>1</x:v>
      </x:c>
      <x:c r="S88" s="8" t="n">
        <x:v>0</x:v>
      </x:c>
      <x:c r="T88" s="8" t="n">
        <x:v>0</x:v>
      </x:c>
      <x:c r="U88" s="8" t="n">
        <x:v>0</x:v>
      </x:c>
      <x:c r="V88" s="7" t="str">
        <x:v>body_logging</x:v>
      </x:c>
    </x:row>
    <x:row r="89" ht="88" customHeight="1">
      <x:c r="A89" s="7" t="str">
        <x:v>mh4-schedule-zh-11</x:v>
      </x:c>
      <x:c r="B89" s="7" t="str">
        <x:v>schedule</x:v>
      </x:c>
      <x:c r="C89" s="7" t="str">
        <x:v>周五的晚餐聚会，要么18点要么19点，时间还不确定。</x:v>
      </x:c>
      <x:c r="D89" s="7" t="str">
        <x:v>draft</x:v>
      </x:c>
      <x:c r="E89" s="7" t="str">
        <x:v>schedule</x:v>
      </x:c>
      <x:c r="F89" s="7" t="str">
        <x:v>draft</x:v>
      </x:c>
      <x:c r="G89" s="7" t="str">
        <x:v>schedule</x:v>
      </x:c>
      <x:c r="H89" s="8" t="n">
        <x:v>1</x:v>
      </x:c>
      <x:c r="I89" s="8" t="n">
        <x:v>1</x:v>
      </x:c>
      <x:c r="J89" s="8" t="n">
        <x:v>2</x:v>
      </x:c>
      <x:c r="K89" s="8" t="n">
        <x:v>0</x:v>
      </x:c>
      <x:c r="L89" s="8" t="n">
        <x:v>1</x:v>
      </x:c>
      <x:c r="M89" s="8" t="n">
        <x:v>0</x:v>
      </x:c>
      <x:c r="N89" s="7" t="str">
        <x:v>date</x:v>
      </x:c>
      <x:c r="O89" s="7" t="str">
        <x:v>{"status":"draft","module":"schedule","title":{"containsAny":["晚餐","聚会"]},"date":"2026-10-09","time":null}</x:v>
      </x:c>
      <x:c r="P89" s="7" t="str">
        <x:v>{"status":"draft","reason":null,"module":"schedule","draft":null,"fields":{"id":"5c488fad-1efc-412c-bc5b-6c8b9945671f","title":"晚餐聚会","notes":"周五","date":null,"time":null,"amount":null,"kind":null,"category":null,"account":null,"timezone":"Asia/Shanghai"}}</x:v>
      </x:c>
      <x:c r="Q89" s="7" t="str">
        <x:v>{"intent":"single_task","module":"schedule","title":"晚餐聚会","notes":"周五","time_text":"18:00 or 19:00"}</x:v>
      </x:c>
      <x:c r="R89" s="8" t="n">
        <x:v>1</x:v>
      </x:c>
      <x:c r="S89" s="8" t="n">
        <x:v>1</x:v>
      </x:c>
      <x:c r="T89" s="8" t="n">
        <x:v>1</x:v>
      </x:c>
      <x:c r="U89" s="8" t="n">
        <x:v>0</x:v>
      </x:c>
      <x:c r="V89" s="7" t="str">
        <x:v>uncertain_time</x:v>
      </x:c>
    </x:row>
    <x:row r="90" ht="88" customHeight="1">
      <x:c r="A90" s="7" t="str">
        <x:v>mh4-schedule-zh-07</x:v>
      </x:c>
      <x:c r="B90" s="7" t="str">
        <x:v>schedule</x:v>
      </x:c>
      <x:c r="C90" s="7" t="str">
        <x:v>明天一早有个读书分享会，几点还没定。</x:v>
      </x:c>
      <x:c r="D90" s="7" t="str">
        <x:v>draft</x:v>
      </x:c>
      <x:c r="E90" s="7" t="str">
        <x:v>schedule</x:v>
      </x:c>
      <x:c r="F90" s="7" t="str">
        <x:v>draft</x:v>
      </x:c>
      <x:c r="G90" s="7" t="str">
        <x:v>memo</x:v>
      </x:c>
      <x:c r="H90" s="8" t="n">
        <x:v>0</x:v>
      </x:c>
      <x:c r="I90" s="8" t="n">
        <x:v>2</x:v>
      </x:c>
      <x:c r="J90" s="8" t="n">
        <x:v>2</x:v>
      </x:c>
      <x:c r="K90" s="8" t="n">
        <x:v>0</x:v>
      </x:c>
      <x:c r="L90" s="8" t="n">
        <x:v>1</x:v>
      </x:c>
      <x:c r="M90" s="8" t="n">
        <x:v>0</x:v>
      </x:c>
      <x:c r="N90" s="7" t="str">
        <x:v>module, time</x:v>
      </x:c>
      <x:c r="O90" s="7" t="str">
        <x:v>{"status":"draft","module":"schedule","title":{"containsAny":["读书","分享"]},"date":"2026-10-07","time":null}</x:v>
      </x:c>
      <x:c r="P90" s="7" t="str">
        <x:v>{"status":"draft","reason":null,"draft":{"id":"46223a9d-767a-4214-9b0a-8264c239115b","title":"明天一早有个读书分享会，几点还没定","notes":"","dueDate":"2026-10-07","timezone":"Asia/Shanghai","priority":null,"dateText":"明天","warnings":["priority_missing"]},"module":"memo","fields":null}</x:v>
      </x:c>
      <x:c r="Q90" s="7" t="str">
        <x:v>{"intent":"single_task","module":"schedule","title":"读书分享会","notes":"","date_text":"明天","time_text":"一早"}</x:v>
      </x:c>
      <x:c r="R90" s="8" t="n">
        <x:v>1</x:v>
      </x:c>
      <x:c r="S90" s="8" t="n">
        <x:v>1</x:v>
      </x:c>
      <x:c r="T90" s="8" t="n">
        <x:v>1</x:v>
      </x:c>
      <x:c r="U90" s="8" t="n">
        <x:v>1</x:v>
      </x:c>
      <x:c r="V90" s="7" t="str">
        <x:v>missing_time</x:v>
      </x:c>
    </x:row>
  </x:sheetData>
  <x:conditionalFormatting sqref="K4:K90">
    <x:cfRule type="cellIs" dxfId="2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b3597791844a0f"/>
  </x:tableParts>
</x:worksheet>
</file>